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sheets>
    <sheet name="Input Barang" sheetId="1" r:id="rId1"/>
    <sheet name="Output Agus" sheetId="2" r:id="rId2"/>
    <sheet name="Output Rexa" sheetId="3" r:id="rId3"/>
    <sheet name="Rekap" sheetId="4" r:id="rId4"/>
  </sheets>
  <calcPr calcId="162913" iterate="1" iterateCount="100" iterateDelta="0.001"/>
</workbook>
</file>

<file path=xl/sharedStrings.xml><?xml version="1.0" encoding="utf-8"?>
<sst xmlns="http://schemas.openxmlformats.org/spreadsheetml/2006/main" count="17" uniqueCount="17">
  <si>
    <t xml:space="preserve">No</t>
  </si>
  <si>
    <t xml:space="preserve">Kode Barang</t>
  </si>
  <si>
    <t xml:space="preserve">Tanggal Masuk</t>
  </si>
  <si>
    <t xml:space="preserve">Tanggal Keluar</t>
  </si>
  <si>
    <t xml:space="preserve">REKAP KELUAR MASUK BARANG</t>
  </si>
  <si>
    <t xml:space="preserve">Keterangan</t>
  </si>
  <si>
    <t xml:space="preserve">Jumlah</t>
  </si>
  <si>
    <t xml:space="preserve">Total Barang Masuk (Input)</t>
  </si>
  <si>
    <t xml:space="preserve">Total Keluar - Agus</t>
  </si>
  <si>
    <t xml:space="preserve">Total Keluar - Rexa</t>
  </si>
  <si>
    <t xml:space="preserve">Total Keluar (Agus + Rexa)</t>
  </si>
  <si>
    <t xml:space="preserve">Sisa Stok (Input - Keluar)</t>
  </si>
  <si>
    <t xml:space="preserve">REKAP PER KODE BARANG</t>
  </si>
  <si>
    <t xml:space="preserve">Input</t>
  </si>
  <si>
    <t xml:space="preserve">Keluar Agus</t>
  </si>
  <si>
    <t xml:space="preserve">Keluar Rexa</t>
  </si>
  <si>
    <t xml:space="preserve">Sisa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</si>
</sst>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3">
    <font>
      <sz val="11"/>
      <name val="Calibri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00"/>
  <sheetViews>
    <sheetView workbookViewId="0" tabSelected="1">
      <pane ySplit="1" topLeftCell="A2" activePane="bottomLeft" state="frozen"/>
      <selection pane="bottomLeft" activeCell="B2" sqref="B2"/>
    </sheetView>
  </sheetViews>
  <sheetFormatPr defaultRowHeight="15"/>
  <cols>
    <col min="1" max="1" width="6" customWidth="1"/>
    <col min="2" max="2" width="22" customWidth="1"/>
    <col min="3" max="3" width="22" customWidth="1"/>
  </cols>
  <sheetData>
    <row r="1" ht="22" customHeight="1">
      <c r="A1" s="1" t="s">
        <v>0</v>
      </c>
      <c r="B1" s="1" t="s">
        <v>1</v>
      </c>
      <c r="C1" s="1" t="s">
        <v>2</v>
      </c>
    </row>
    <row r="2">
      <c r="A2" s="4">
        <f>IF(B2="","",ROW()-1)</f>
      </c>
      <c r="B2" s="5"/>
      <c r="C2" s="2">
        <f>IF(B2="","",IF(C2="",NOW(),C2))</f>
      </c>
    </row>
    <row r="3">
      <c r="A3" s="4">
        <f>IF(B3="","",ROW()-1)</f>
      </c>
      <c r="B3" s="5"/>
      <c r="C3" s="2">
        <f>IF(B3="","",IF(C3="",NOW(),C3))</f>
      </c>
    </row>
    <row r="4">
      <c r="A4" s="4">
        <f>IF(B4="","",ROW()-1)</f>
      </c>
      <c r="B4" s="5"/>
      <c r="C4" s="2">
        <f>IF(B4="","",IF(C4="",NOW(),C4))</f>
      </c>
    </row>
    <row r="5">
      <c r="A5" s="4">
        <f>IF(B5="","",ROW()-1)</f>
      </c>
      <c r="B5" s="5"/>
      <c r="C5" s="2">
        <f>IF(B5="","",IF(C5="",NOW(),C5))</f>
      </c>
    </row>
    <row r="6">
      <c r="A6" s="4">
        <f>IF(B6="","",ROW()-1)</f>
      </c>
      <c r="B6" s="5"/>
      <c r="C6" s="2">
        <f>IF(B6="","",IF(C6="",NOW(),C6))</f>
      </c>
    </row>
    <row r="7">
      <c r="A7" s="4">
        <f>IF(B7="","",ROW()-1)</f>
      </c>
      <c r="B7" s="5"/>
      <c r="C7" s="2">
        <f>IF(B7="","",IF(C7="",NOW(),C7))</f>
      </c>
    </row>
    <row r="8">
      <c r="A8" s="4">
        <f>IF(B8="","",ROW()-1)</f>
      </c>
      <c r="B8" s="5"/>
      <c r="C8" s="2">
        <f>IF(B8="","",IF(C8="",NOW(),C8))</f>
      </c>
    </row>
    <row r="9">
      <c r="A9" s="4">
        <f>IF(B9="","",ROW()-1)</f>
      </c>
      <c r="B9" s="5"/>
      <c r="C9" s="2">
        <f>IF(B9="","",IF(C9="",NOW(),C9))</f>
      </c>
    </row>
    <row r="10">
      <c r="A10" s="4">
        <f>IF(B10="","",ROW()-1)</f>
      </c>
      <c r="B10" s="5"/>
      <c r="C10" s="2">
        <f>IF(B10="","",IF(C10="",NOW(),C10))</f>
      </c>
    </row>
    <row r="11">
      <c r="A11" s="4">
        <f>IF(B11="","",ROW()-1)</f>
      </c>
      <c r="B11" s="5"/>
      <c r="C11" s="2">
        <f>IF(B11="","",IF(C11="",NOW(),C11))</f>
      </c>
    </row>
    <row r="12">
      <c r="A12" s="4">
        <f>IF(B12="","",ROW()-1)</f>
      </c>
      <c r="B12" s="5"/>
      <c r="C12" s="2">
        <f>IF(B12="","",IF(C12="",NOW(),C12))</f>
      </c>
    </row>
    <row r="13">
      <c r="A13" s="4">
        <f>IF(B13="","",ROW()-1)</f>
      </c>
      <c r="B13" s="5"/>
      <c r="C13" s="2">
        <f>IF(B13="","",IF(C13="",NOW(),C13))</f>
      </c>
    </row>
    <row r="14">
      <c r="A14" s="4">
        <f>IF(B14="","",ROW()-1)</f>
      </c>
      <c r="B14" s="5"/>
      <c r="C14" s="2">
        <f>IF(B14="","",IF(C14="",NOW(),C14))</f>
      </c>
    </row>
    <row r="15">
      <c r="A15" s="4">
        <f>IF(B15="","",ROW()-1)</f>
      </c>
      <c r="B15" s="5"/>
      <c r="C15" s="2">
        <f>IF(B15="","",IF(C15="",NOW(),C15))</f>
      </c>
    </row>
    <row r="16">
      <c r="A16" s="4">
        <f>IF(B16="","",ROW()-1)</f>
      </c>
      <c r="B16" s="5"/>
      <c r="C16" s="2">
        <f>IF(B16="","",IF(C16="",NOW(),C16))</f>
      </c>
    </row>
    <row r="17">
      <c r="A17" s="4">
        <f>IF(B17="","",ROW()-1)</f>
      </c>
      <c r="B17" s="5"/>
      <c r="C17" s="2">
        <f>IF(B17="","",IF(C17="",NOW(),C17))</f>
      </c>
    </row>
    <row r="18">
      <c r="A18" s="4">
        <f>IF(B18="","",ROW()-1)</f>
      </c>
      <c r="B18" s="5"/>
      <c r="C18" s="2">
        <f>IF(B18="","",IF(C18="",NOW(),C18))</f>
      </c>
    </row>
    <row r="19">
      <c r="A19" s="4">
        <f>IF(B19="","",ROW()-1)</f>
      </c>
      <c r="B19" s="5"/>
      <c r="C19" s="2">
        <f>IF(B19="","",IF(C19="",NOW(),C19))</f>
      </c>
    </row>
    <row r="20">
      <c r="A20" s="4">
        <f>IF(B20="","",ROW()-1)</f>
      </c>
      <c r="B20" s="5"/>
      <c r="C20" s="2">
        <f>IF(B20="","",IF(C20="",NOW(),C20))</f>
      </c>
    </row>
    <row r="21">
      <c r="A21" s="4">
        <f>IF(B21="","",ROW()-1)</f>
      </c>
      <c r="B21" s="5"/>
      <c r="C21" s="2">
        <f>IF(B21="","",IF(C21="",NOW(),C21))</f>
      </c>
    </row>
    <row r="22">
      <c r="A22" s="4">
        <f>IF(B22="","",ROW()-1)</f>
      </c>
      <c r="B22" s="5"/>
      <c r="C22" s="2">
        <f>IF(B22="","",IF(C22="",NOW(),C22))</f>
      </c>
    </row>
    <row r="23">
      <c r="A23" s="4">
        <f>IF(B23="","",ROW()-1)</f>
      </c>
      <c r="B23" s="5"/>
      <c r="C23" s="2">
        <f>IF(B23="","",IF(C23="",NOW(),C23))</f>
      </c>
    </row>
    <row r="24">
      <c r="A24" s="4">
        <f>IF(B24="","",ROW()-1)</f>
      </c>
      <c r="B24" s="5"/>
      <c r="C24" s="2">
        <f>IF(B24="","",IF(C24="",NOW(),C24))</f>
      </c>
    </row>
    <row r="25">
      <c r="A25" s="4">
        <f>IF(B25="","",ROW()-1)</f>
      </c>
      <c r="B25" s="5"/>
      <c r="C25" s="2">
        <f>IF(B25="","",IF(C25="",NOW(),C25))</f>
      </c>
    </row>
    <row r="26">
      <c r="A26" s="4">
        <f>IF(B26="","",ROW()-1)</f>
      </c>
      <c r="B26" s="5"/>
      <c r="C26" s="2">
        <f>IF(B26="","",IF(C26="",NOW(),C26))</f>
      </c>
    </row>
    <row r="27">
      <c r="A27" s="4">
        <f>IF(B27="","",ROW()-1)</f>
      </c>
      <c r="B27" s="5"/>
      <c r="C27" s="2">
        <f>IF(B27="","",IF(C27="",NOW(),C27))</f>
      </c>
    </row>
    <row r="28">
      <c r="A28" s="4">
        <f>IF(B28="","",ROW()-1)</f>
      </c>
      <c r="B28" s="5"/>
      <c r="C28" s="2">
        <f>IF(B28="","",IF(C28="",NOW(),C28))</f>
      </c>
    </row>
    <row r="29">
      <c r="A29" s="4">
        <f>IF(B29="","",ROW()-1)</f>
      </c>
      <c r="B29" s="5"/>
      <c r="C29" s="2">
        <f>IF(B29="","",IF(C29="",NOW(),C29))</f>
      </c>
    </row>
    <row r="30">
      <c r="A30" s="4">
        <f>IF(B30="","",ROW()-1)</f>
      </c>
      <c r="B30" s="5"/>
      <c r="C30" s="2">
        <f>IF(B30="","",IF(C30="",NOW(),C30))</f>
      </c>
    </row>
    <row r="31">
      <c r="A31" s="4">
        <f>IF(B31="","",ROW()-1)</f>
      </c>
      <c r="B31" s="5"/>
      <c r="C31" s="2">
        <f>IF(B31="","",IF(C31="",NOW(),C31))</f>
      </c>
    </row>
    <row r="32">
      <c r="A32" s="4">
        <f>IF(B32="","",ROW()-1)</f>
      </c>
      <c r="B32" s="5"/>
      <c r="C32" s="2">
        <f>IF(B32="","",IF(C32="",NOW(),C32))</f>
      </c>
    </row>
    <row r="33">
      <c r="A33" s="4">
        <f>IF(B33="","",ROW()-1)</f>
      </c>
      <c r="B33" s="5"/>
      <c r="C33" s="2">
        <f>IF(B33="","",IF(C33="",NOW(),C33))</f>
      </c>
    </row>
    <row r="34">
      <c r="A34" s="4">
        <f>IF(B34="","",ROW()-1)</f>
      </c>
      <c r="B34" s="5"/>
      <c r="C34" s="2">
        <f>IF(B34="","",IF(C34="",NOW(),C34))</f>
      </c>
    </row>
    <row r="35">
      <c r="A35" s="4">
        <f>IF(B35="","",ROW()-1)</f>
      </c>
      <c r="B35" s="5"/>
      <c r="C35" s="2">
        <f>IF(B35="","",IF(C35="",NOW(),C35))</f>
      </c>
    </row>
    <row r="36">
      <c r="A36" s="4">
        <f>IF(B36="","",ROW()-1)</f>
      </c>
      <c r="B36" s="5"/>
      <c r="C36" s="2">
        <f>IF(B36="","",IF(C36="",NOW(),C36))</f>
      </c>
    </row>
    <row r="37">
      <c r="A37" s="4">
        <f>IF(B37="","",ROW()-1)</f>
      </c>
      <c r="B37" s="5"/>
      <c r="C37" s="2">
        <f>IF(B37="","",IF(C37="",NOW(),C37))</f>
      </c>
    </row>
    <row r="38">
      <c r="A38" s="4">
        <f>IF(B38="","",ROW()-1)</f>
      </c>
      <c r="B38" s="5"/>
      <c r="C38" s="2">
        <f>IF(B38="","",IF(C38="",NOW(),C38))</f>
      </c>
    </row>
    <row r="39">
      <c r="A39" s="4">
        <f>IF(B39="","",ROW()-1)</f>
      </c>
      <c r="B39" s="5"/>
      <c r="C39" s="2">
        <f>IF(B39="","",IF(C39="",NOW(),C39))</f>
      </c>
    </row>
    <row r="40">
      <c r="A40" s="4">
        <f>IF(B40="","",ROW()-1)</f>
      </c>
      <c r="B40" s="5"/>
      <c r="C40" s="2">
        <f>IF(B40="","",IF(C40="",NOW(),C40))</f>
      </c>
    </row>
    <row r="41">
      <c r="A41" s="4">
        <f>IF(B41="","",ROW()-1)</f>
      </c>
      <c r="B41" s="5"/>
      <c r="C41" s="2">
        <f>IF(B41="","",IF(C41="",NOW(),C41))</f>
      </c>
    </row>
    <row r="42">
      <c r="A42" s="4">
        <f>IF(B42="","",ROW()-1)</f>
      </c>
      <c r="B42" s="5"/>
      <c r="C42" s="2">
        <f>IF(B42="","",IF(C42="",NOW(),C42))</f>
      </c>
    </row>
    <row r="43">
      <c r="A43" s="4">
        <f>IF(B43="","",ROW()-1)</f>
      </c>
      <c r="B43" s="5"/>
      <c r="C43" s="2">
        <f>IF(B43="","",IF(C43="",NOW(),C43))</f>
      </c>
    </row>
    <row r="44">
      <c r="A44" s="4">
        <f>IF(B44="","",ROW()-1)</f>
      </c>
      <c r="B44" s="5"/>
      <c r="C44" s="2">
        <f>IF(B44="","",IF(C44="",NOW(),C44))</f>
      </c>
    </row>
    <row r="45">
      <c r="A45" s="4">
        <f>IF(B45="","",ROW()-1)</f>
      </c>
      <c r="B45" s="5"/>
      <c r="C45" s="2">
        <f>IF(B45="","",IF(C45="",NOW(),C45))</f>
      </c>
    </row>
    <row r="46">
      <c r="A46" s="4">
        <f>IF(B46="","",ROW()-1)</f>
      </c>
      <c r="B46" s="5"/>
      <c r="C46" s="2">
        <f>IF(B46="","",IF(C46="",NOW(),C46))</f>
      </c>
    </row>
    <row r="47">
      <c r="A47" s="4">
        <f>IF(B47="","",ROW()-1)</f>
      </c>
      <c r="B47" s="5"/>
      <c r="C47" s="2">
        <f>IF(B47="","",IF(C47="",NOW(),C47))</f>
      </c>
    </row>
    <row r="48">
      <c r="A48" s="4">
        <f>IF(B48="","",ROW()-1)</f>
      </c>
      <c r="B48" s="5"/>
      <c r="C48" s="2">
        <f>IF(B48="","",IF(C48="",NOW(),C48))</f>
      </c>
    </row>
    <row r="49">
      <c r="A49" s="4">
        <f>IF(B49="","",ROW()-1)</f>
      </c>
      <c r="B49" s="5"/>
      <c r="C49" s="2">
        <f>IF(B49="","",IF(C49="",NOW(),C49))</f>
      </c>
    </row>
    <row r="50">
      <c r="A50" s="4">
        <f>IF(B50="","",ROW()-1)</f>
      </c>
      <c r="B50" s="5"/>
      <c r="C50" s="2">
        <f>IF(B50="","",IF(C50="",NOW(),C50))</f>
      </c>
    </row>
    <row r="51">
      <c r="A51" s="4">
        <f>IF(B51="","",ROW()-1)</f>
      </c>
      <c r="B51" s="5"/>
      <c r="C51" s="2">
        <f>IF(B51="","",IF(C51="",NOW(),C51))</f>
      </c>
    </row>
    <row r="52">
      <c r="A52" s="4">
        <f>IF(B52="","",ROW()-1)</f>
      </c>
      <c r="B52" s="5"/>
      <c r="C52" s="2">
        <f>IF(B52="","",IF(C52="",NOW(),C52))</f>
      </c>
    </row>
    <row r="53">
      <c r="A53" s="4">
        <f>IF(B53="","",ROW()-1)</f>
      </c>
      <c r="B53" s="5"/>
      <c r="C53" s="2">
        <f>IF(B53="","",IF(C53="",NOW(),C53))</f>
      </c>
    </row>
    <row r="54">
      <c r="A54" s="4">
        <f>IF(B54="","",ROW()-1)</f>
      </c>
      <c r="B54" s="5"/>
      <c r="C54" s="2">
        <f>IF(B54="","",IF(C54="",NOW(),C54))</f>
      </c>
    </row>
    <row r="55">
      <c r="A55" s="4">
        <f>IF(B55="","",ROW()-1)</f>
      </c>
      <c r="B55" s="5"/>
      <c r="C55" s="2">
        <f>IF(B55="","",IF(C55="",NOW(),C55))</f>
      </c>
    </row>
    <row r="56">
      <c r="A56" s="4">
        <f>IF(B56="","",ROW()-1)</f>
      </c>
      <c r="B56" s="5"/>
      <c r="C56" s="2">
        <f>IF(B56="","",IF(C56="",NOW(),C56))</f>
      </c>
    </row>
    <row r="57">
      <c r="A57" s="4">
        <f>IF(B57="","",ROW()-1)</f>
      </c>
      <c r="B57" s="5"/>
      <c r="C57" s="2">
        <f>IF(B57="","",IF(C57="",NOW(),C57))</f>
      </c>
    </row>
    <row r="58">
      <c r="A58" s="4">
        <f>IF(B58="","",ROW()-1)</f>
      </c>
      <c r="B58" s="5"/>
      <c r="C58" s="2">
        <f>IF(B58="","",IF(C58="",NOW(),C58))</f>
      </c>
    </row>
    <row r="59">
      <c r="A59" s="4">
        <f>IF(B59="","",ROW()-1)</f>
      </c>
      <c r="B59" s="5"/>
      <c r="C59" s="2">
        <f>IF(B59="","",IF(C59="",NOW(),C59))</f>
      </c>
    </row>
    <row r="60">
      <c r="A60" s="4">
        <f>IF(B60="","",ROW()-1)</f>
      </c>
      <c r="B60" s="5"/>
      <c r="C60" s="2">
        <f>IF(B60="","",IF(C60="",NOW(),C60))</f>
      </c>
    </row>
    <row r="61">
      <c r="A61" s="4">
        <f>IF(B61="","",ROW()-1)</f>
      </c>
      <c r="B61" s="5"/>
      <c r="C61" s="2">
        <f>IF(B61="","",IF(C61="",NOW(),C61))</f>
      </c>
    </row>
    <row r="62">
      <c r="A62" s="4">
        <f>IF(B62="","",ROW()-1)</f>
      </c>
      <c r="B62" s="5"/>
      <c r="C62" s="2">
        <f>IF(B62="","",IF(C62="",NOW(),C62))</f>
      </c>
    </row>
    <row r="63">
      <c r="A63" s="4">
        <f>IF(B63="","",ROW()-1)</f>
      </c>
      <c r="B63" s="5"/>
      <c r="C63" s="2">
        <f>IF(B63="","",IF(C63="",NOW(),C63))</f>
      </c>
    </row>
    <row r="64">
      <c r="A64" s="4">
        <f>IF(B64="","",ROW()-1)</f>
      </c>
      <c r="B64" s="5"/>
      <c r="C64" s="2">
        <f>IF(B64="","",IF(C64="",NOW(),C64))</f>
      </c>
    </row>
    <row r="65">
      <c r="A65" s="4">
        <f>IF(B65="","",ROW()-1)</f>
      </c>
      <c r="B65" s="5"/>
      <c r="C65" s="2">
        <f>IF(B65="","",IF(C65="",NOW(),C65))</f>
      </c>
    </row>
    <row r="66">
      <c r="A66" s="4">
        <f>IF(B66="","",ROW()-1)</f>
      </c>
      <c r="B66" s="5"/>
      <c r="C66" s="2">
        <f>IF(B66="","",IF(C66="",NOW(),C66))</f>
      </c>
    </row>
    <row r="67">
      <c r="A67" s="4">
        <f>IF(B67="","",ROW()-1)</f>
      </c>
      <c r="B67" s="5"/>
      <c r="C67" s="2">
        <f>IF(B67="","",IF(C67="",NOW(),C67))</f>
      </c>
    </row>
    <row r="68">
      <c r="A68" s="4">
        <f>IF(B68="","",ROW()-1)</f>
      </c>
      <c r="B68" s="5"/>
      <c r="C68" s="2">
        <f>IF(B68="","",IF(C68="",NOW(),C68))</f>
      </c>
    </row>
    <row r="69">
      <c r="A69" s="4">
        <f>IF(B69="","",ROW()-1)</f>
      </c>
      <c r="B69" s="5"/>
      <c r="C69" s="2">
        <f>IF(B69="","",IF(C69="",NOW(),C69))</f>
      </c>
    </row>
    <row r="70">
      <c r="A70" s="4">
        <f>IF(B70="","",ROW()-1)</f>
      </c>
      <c r="B70" s="5"/>
      <c r="C70" s="2">
        <f>IF(B70="","",IF(C70="",NOW(),C70))</f>
      </c>
    </row>
    <row r="71">
      <c r="A71" s="4">
        <f>IF(B71="","",ROW()-1)</f>
      </c>
      <c r="B71" s="5"/>
      <c r="C71" s="2">
        <f>IF(B71="","",IF(C71="",NOW(),C71))</f>
      </c>
    </row>
    <row r="72">
      <c r="A72" s="4">
        <f>IF(B72="","",ROW()-1)</f>
      </c>
      <c r="B72" s="5"/>
      <c r="C72" s="2">
        <f>IF(B72="","",IF(C72="",NOW(),C72))</f>
      </c>
    </row>
    <row r="73">
      <c r="A73" s="4">
        <f>IF(B73="","",ROW()-1)</f>
      </c>
      <c r="B73" s="5"/>
      <c r="C73" s="2">
        <f>IF(B73="","",IF(C73="",NOW(),C73))</f>
      </c>
    </row>
    <row r="74">
      <c r="A74" s="4">
        <f>IF(B74="","",ROW()-1)</f>
      </c>
      <c r="B74" s="5"/>
      <c r="C74" s="2">
        <f>IF(B74="","",IF(C74="",NOW(),C74))</f>
      </c>
    </row>
    <row r="75">
      <c r="A75" s="4">
        <f>IF(B75="","",ROW()-1)</f>
      </c>
      <c r="B75" s="5"/>
      <c r="C75" s="2">
        <f>IF(B75="","",IF(C75="",NOW(),C75))</f>
      </c>
    </row>
    <row r="76">
      <c r="A76" s="4">
        <f>IF(B76="","",ROW()-1)</f>
      </c>
      <c r="B76" s="5"/>
      <c r="C76" s="2">
        <f>IF(B76="","",IF(C76="",NOW(),C76))</f>
      </c>
    </row>
    <row r="77">
      <c r="A77" s="4">
        <f>IF(B77="","",ROW()-1)</f>
      </c>
      <c r="B77" s="5"/>
      <c r="C77" s="2">
        <f>IF(B77="","",IF(C77="",NOW(),C77))</f>
      </c>
    </row>
    <row r="78">
      <c r="A78" s="4">
        <f>IF(B78="","",ROW()-1)</f>
      </c>
      <c r="B78" s="5"/>
      <c r="C78" s="2">
        <f>IF(B78="","",IF(C78="",NOW(),C78))</f>
      </c>
    </row>
    <row r="79">
      <c r="A79" s="4">
        <f>IF(B79="","",ROW()-1)</f>
      </c>
      <c r="B79" s="5"/>
      <c r="C79" s="2">
        <f>IF(B79="","",IF(C79="",NOW(),C79))</f>
      </c>
    </row>
    <row r="80">
      <c r="A80" s="4">
        <f>IF(B80="","",ROW()-1)</f>
      </c>
      <c r="B80" s="5"/>
      <c r="C80" s="2">
        <f>IF(B80="","",IF(C80="",NOW(),C80))</f>
      </c>
    </row>
    <row r="81">
      <c r="A81" s="4">
        <f>IF(B81="","",ROW()-1)</f>
      </c>
      <c r="B81" s="5"/>
      <c r="C81" s="2">
        <f>IF(B81="","",IF(C81="",NOW(),C81))</f>
      </c>
    </row>
    <row r="82">
      <c r="A82" s="4">
        <f>IF(B82="","",ROW()-1)</f>
      </c>
      <c r="B82" s="5"/>
      <c r="C82" s="2">
        <f>IF(B82="","",IF(C82="",NOW(),C82))</f>
      </c>
    </row>
    <row r="83">
      <c r="A83" s="4">
        <f>IF(B83="","",ROW()-1)</f>
      </c>
      <c r="B83" s="5"/>
      <c r="C83" s="2">
        <f>IF(B83="","",IF(C83="",NOW(),C83))</f>
      </c>
    </row>
    <row r="84">
      <c r="A84" s="4">
        <f>IF(B84="","",ROW()-1)</f>
      </c>
      <c r="B84" s="5"/>
      <c r="C84" s="2">
        <f>IF(B84="","",IF(C84="",NOW(),C84))</f>
      </c>
    </row>
    <row r="85">
      <c r="A85" s="4">
        <f>IF(B85="","",ROW()-1)</f>
      </c>
      <c r="B85" s="5"/>
      <c r="C85" s="2">
        <f>IF(B85="","",IF(C85="",NOW(),C85))</f>
      </c>
    </row>
    <row r="86">
      <c r="A86" s="4">
        <f>IF(B86="","",ROW()-1)</f>
      </c>
      <c r="B86" s="5"/>
      <c r="C86" s="2">
        <f>IF(B86="","",IF(C86="",NOW(),C86))</f>
      </c>
    </row>
    <row r="87">
      <c r="A87" s="4">
        <f>IF(B87="","",ROW()-1)</f>
      </c>
      <c r="B87" s="5"/>
      <c r="C87" s="2">
        <f>IF(B87="","",IF(C87="",NOW(),C87))</f>
      </c>
    </row>
    <row r="88">
      <c r="A88" s="4">
        <f>IF(B88="","",ROW()-1)</f>
      </c>
      <c r="B88" s="5"/>
      <c r="C88" s="2">
        <f>IF(B88="","",IF(C88="",NOW(),C88))</f>
      </c>
    </row>
    <row r="89">
      <c r="A89" s="4">
        <f>IF(B89="","",ROW()-1)</f>
      </c>
      <c r="B89" s="5"/>
      <c r="C89" s="2">
        <f>IF(B89="","",IF(C89="",NOW(),C89))</f>
      </c>
    </row>
    <row r="90">
      <c r="A90" s="4">
        <f>IF(B90="","",ROW()-1)</f>
      </c>
      <c r="B90" s="5"/>
      <c r="C90" s="2">
        <f>IF(B90="","",IF(C90="",NOW(),C90))</f>
      </c>
    </row>
    <row r="91">
      <c r="A91" s="4">
        <f>IF(B91="","",ROW()-1)</f>
      </c>
      <c r="B91" s="5"/>
      <c r="C91" s="2">
        <f>IF(B91="","",IF(C91="",NOW(),C91))</f>
      </c>
    </row>
    <row r="92">
      <c r="A92" s="4">
        <f>IF(B92="","",ROW()-1)</f>
      </c>
      <c r="B92" s="5"/>
      <c r="C92" s="2">
        <f>IF(B92="","",IF(C92="",NOW(),C92))</f>
      </c>
    </row>
    <row r="93">
      <c r="A93" s="4">
        <f>IF(B93="","",ROW()-1)</f>
      </c>
      <c r="B93" s="5"/>
      <c r="C93" s="2">
        <f>IF(B93="","",IF(C93="",NOW(),C93))</f>
      </c>
    </row>
    <row r="94">
      <c r="A94" s="4">
        <f>IF(B94="","",ROW()-1)</f>
      </c>
      <c r="B94" s="5"/>
      <c r="C94" s="2">
        <f>IF(B94="","",IF(C94="",NOW(),C94))</f>
      </c>
    </row>
    <row r="95">
      <c r="A95" s="4">
        <f>IF(B95="","",ROW()-1)</f>
      </c>
      <c r="B95" s="5"/>
      <c r="C95" s="2">
        <f>IF(B95="","",IF(C95="",NOW(),C95))</f>
      </c>
    </row>
    <row r="96">
      <c r="A96" s="4">
        <f>IF(B96="","",ROW()-1)</f>
      </c>
      <c r="B96" s="5"/>
      <c r="C96" s="2">
        <f>IF(B96="","",IF(C96="",NOW(),C96))</f>
      </c>
    </row>
    <row r="97">
      <c r="A97" s="4">
        <f>IF(B97="","",ROW()-1)</f>
      </c>
      <c r="B97" s="5"/>
      <c r="C97" s="2">
        <f>IF(B97="","",IF(C97="",NOW(),C97))</f>
      </c>
    </row>
    <row r="98">
      <c r="A98" s="4">
        <f>IF(B98="","",ROW()-1)</f>
      </c>
      <c r="B98" s="5"/>
      <c r="C98" s="2">
        <f>IF(B98="","",IF(C98="",NOW(),C98))</f>
      </c>
    </row>
    <row r="99">
      <c r="A99" s="4">
        <f>IF(B99="","",ROW()-1)</f>
      </c>
      <c r="B99" s="5"/>
      <c r="C99" s="2">
        <f>IF(B99="","",IF(C99="",NOW(),C99))</f>
      </c>
    </row>
    <row r="100">
      <c r="A100" s="4">
        <f>IF(B100="","",ROW()-1)</f>
      </c>
      <c r="B100" s="5"/>
      <c r="C100" s="2">
        <f>IF(B100="","",IF(C100="",NOW(),C100))</f>
      </c>
    </row>
    <row r="101">
      <c r="A101" s="4">
        <f>IF(B101="","",ROW()-1)</f>
      </c>
      <c r="B101" s="5"/>
      <c r="C101" s="2">
        <f>IF(B101="","",IF(C101="",NOW(),C101))</f>
      </c>
    </row>
    <row r="102">
      <c r="A102" s="4">
        <f>IF(B102="","",ROW()-1)</f>
      </c>
      <c r="B102" s="5"/>
      <c r="C102" s="2">
        <f>IF(B102="","",IF(C102="",NOW(),C102))</f>
      </c>
    </row>
    <row r="103">
      <c r="A103" s="4">
        <f>IF(B103="","",ROW()-1)</f>
      </c>
      <c r="B103" s="5"/>
      <c r="C103" s="2">
        <f>IF(B103="","",IF(C103="",NOW(),C103))</f>
      </c>
    </row>
    <row r="104">
      <c r="A104" s="4">
        <f>IF(B104="","",ROW()-1)</f>
      </c>
      <c r="B104" s="5"/>
      <c r="C104" s="2">
        <f>IF(B104="","",IF(C104="",NOW(),C104))</f>
      </c>
    </row>
    <row r="105">
      <c r="A105" s="4">
        <f>IF(B105="","",ROW()-1)</f>
      </c>
      <c r="B105" s="5"/>
      <c r="C105" s="2">
        <f>IF(B105="","",IF(C105="",NOW(),C105))</f>
      </c>
    </row>
    <row r="106">
      <c r="A106" s="4">
        <f>IF(B106="","",ROW()-1)</f>
      </c>
      <c r="B106" s="5"/>
      <c r="C106" s="2">
        <f>IF(B106="","",IF(C106="",NOW(),C106))</f>
      </c>
    </row>
    <row r="107">
      <c r="A107" s="4">
        <f>IF(B107="","",ROW()-1)</f>
      </c>
      <c r="B107" s="5"/>
      <c r="C107" s="2">
        <f>IF(B107="","",IF(C107="",NOW(),C107))</f>
      </c>
    </row>
    <row r="108">
      <c r="A108" s="4">
        <f>IF(B108="","",ROW()-1)</f>
      </c>
      <c r="B108" s="5"/>
      <c r="C108" s="2">
        <f>IF(B108="","",IF(C108="",NOW(),C108))</f>
      </c>
    </row>
    <row r="109">
      <c r="A109" s="4">
        <f>IF(B109="","",ROW()-1)</f>
      </c>
      <c r="B109" s="5"/>
      <c r="C109" s="2">
        <f>IF(B109="","",IF(C109="",NOW(),C109))</f>
      </c>
    </row>
    <row r="110">
      <c r="A110" s="4">
        <f>IF(B110="","",ROW()-1)</f>
      </c>
      <c r="B110" s="5"/>
      <c r="C110" s="2">
        <f>IF(B110="","",IF(C110="",NOW(),C110))</f>
      </c>
    </row>
    <row r="111">
      <c r="A111" s="4">
        <f>IF(B111="","",ROW()-1)</f>
      </c>
      <c r="B111" s="5"/>
      <c r="C111" s="2">
        <f>IF(B111="","",IF(C111="",NOW(),C111))</f>
      </c>
    </row>
    <row r="112">
      <c r="A112" s="4">
        <f>IF(B112="","",ROW()-1)</f>
      </c>
      <c r="B112" s="5"/>
      <c r="C112" s="2">
        <f>IF(B112="","",IF(C112="",NOW(),C112))</f>
      </c>
    </row>
    <row r="113">
      <c r="A113" s="4">
        <f>IF(B113="","",ROW()-1)</f>
      </c>
      <c r="B113" s="5"/>
      <c r="C113" s="2">
        <f>IF(B113="","",IF(C113="",NOW(),C113))</f>
      </c>
    </row>
    <row r="114">
      <c r="A114" s="4">
        <f>IF(B114="","",ROW()-1)</f>
      </c>
      <c r="B114" s="5"/>
      <c r="C114" s="2">
        <f>IF(B114="","",IF(C114="",NOW(),C114))</f>
      </c>
    </row>
    <row r="115">
      <c r="A115" s="4">
        <f>IF(B115="","",ROW()-1)</f>
      </c>
      <c r="B115" s="5"/>
      <c r="C115" s="2">
        <f>IF(B115="","",IF(C115="",NOW(),C115))</f>
      </c>
    </row>
    <row r="116">
      <c r="A116" s="4">
        <f>IF(B116="","",ROW()-1)</f>
      </c>
      <c r="B116" s="5"/>
      <c r="C116" s="2">
        <f>IF(B116="","",IF(C116="",NOW(),C116))</f>
      </c>
    </row>
    <row r="117">
      <c r="A117" s="4">
        <f>IF(B117="","",ROW()-1)</f>
      </c>
      <c r="B117" s="5"/>
      <c r="C117" s="2">
        <f>IF(B117="","",IF(C117="",NOW(),C117))</f>
      </c>
    </row>
    <row r="118">
      <c r="A118" s="4">
        <f>IF(B118="","",ROW()-1)</f>
      </c>
      <c r="B118" s="5"/>
      <c r="C118" s="2">
        <f>IF(B118="","",IF(C118="",NOW(),C118))</f>
      </c>
    </row>
    <row r="119">
      <c r="A119" s="4">
        <f>IF(B119="","",ROW()-1)</f>
      </c>
      <c r="B119" s="5"/>
      <c r="C119" s="2">
        <f>IF(B119="","",IF(C119="",NOW(),C119))</f>
      </c>
    </row>
    <row r="120">
      <c r="A120" s="4">
        <f>IF(B120="","",ROW()-1)</f>
      </c>
      <c r="B120" s="5"/>
      <c r="C120" s="2">
        <f>IF(B120="","",IF(C120="",NOW(),C120))</f>
      </c>
    </row>
    <row r="121">
      <c r="A121" s="4">
        <f>IF(B121="","",ROW()-1)</f>
      </c>
      <c r="B121" s="5"/>
      <c r="C121" s="2">
        <f>IF(B121="","",IF(C121="",NOW(),C121))</f>
      </c>
    </row>
    <row r="122">
      <c r="A122" s="4">
        <f>IF(B122="","",ROW()-1)</f>
      </c>
      <c r="B122" s="5"/>
      <c r="C122" s="2">
        <f>IF(B122="","",IF(C122="",NOW(),C122))</f>
      </c>
    </row>
    <row r="123">
      <c r="A123" s="4">
        <f>IF(B123="","",ROW()-1)</f>
      </c>
      <c r="B123" s="5"/>
      <c r="C123" s="2">
        <f>IF(B123="","",IF(C123="",NOW(),C123))</f>
      </c>
    </row>
    <row r="124">
      <c r="A124" s="4">
        <f>IF(B124="","",ROW()-1)</f>
      </c>
      <c r="B124" s="5"/>
      <c r="C124" s="2">
        <f>IF(B124="","",IF(C124="",NOW(),C124))</f>
      </c>
    </row>
    <row r="125">
      <c r="A125" s="4">
        <f>IF(B125="","",ROW()-1)</f>
      </c>
      <c r="B125" s="5"/>
      <c r="C125" s="2">
        <f>IF(B125="","",IF(C125="",NOW(),C125))</f>
      </c>
    </row>
    <row r="126">
      <c r="A126" s="4">
        <f>IF(B126="","",ROW()-1)</f>
      </c>
      <c r="B126" s="5"/>
      <c r="C126" s="2">
        <f>IF(B126="","",IF(C126="",NOW(),C126))</f>
      </c>
    </row>
    <row r="127">
      <c r="A127" s="4">
        <f>IF(B127="","",ROW()-1)</f>
      </c>
      <c r="B127" s="5"/>
      <c r="C127" s="2">
        <f>IF(B127="","",IF(C127="",NOW(),C127))</f>
      </c>
    </row>
    <row r="128">
      <c r="A128" s="4">
        <f>IF(B128="","",ROW()-1)</f>
      </c>
      <c r="B128" s="5"/>
      <c r="C128" s="2">
        <f>IF(B128="","",IF(C128="",NOW(),C128))</f>
      </c>
    </row>
    <row r="129">
      <c r="A129" s="4">
        <f>IF(B129="","",ROW()-1)</f>
      </c>
      <c r="B129" s="5"/>
      <c r="C129" s="2">
        <f>IF(B129="","",IF(C129="",NOW(),C129))</f>
      </c>
    </row>
    <row r="130">
      <c r="A130" s="4">
        <f>IF(B130="","",ROW()-1)</f>
      </c>
      <c r="B130" s="5"/>
      <c r="C130" s="2">
        <f>IF(B130="","",IF(C130="",NOW(),C130))</f>
      </c>
    </row>
    <row r="131">
      <c r="A131" s="4">
        <f>IF(B131="","",ROW()-1)</f>
      </c>
      <c r="B131" s="5"/>
      <c r="C131" s="2">
        <f>IF(B131="","",IF(C131="",NOW(),C131))</f>
      </c>
    </row>
    <row r="132">
      <c r="A132" s="4">
        <f>IF(B132="","",ROW()-1)</f>
      </c>
      <c r="B132" s="5"/>
      <c r="C132" s="2">
        <f>IF(B132="","",IF(C132="",NOW(),C132))</f>
      </c>
    </row>
    <row r="133">
      <c r="A133" s="4">
        <f>IF(B133="","",ROW()-1)</f>
      </c>
      <c r="B133" s="5"/>
      <c r="C133" s="2">
        <f>IF(B133="","",IF(C133="",NOW(),C133))</f>
      </c>
    </row>
    <row r="134">
      <c r="A134" s="4">
        <f>IF(B134="","",ROW()-1)</f>
      </c>
      <c r="B134" s="5"/>
      <c r="C134" s="2">
        <f>IF(B134="","",IF(C134="",NOW(),C134))</f>
      </c>
    </row>
    <row r="135">
      <c r="A135" s="4">
        <f>IF(B135="","",ROW()-1)</f>
      </c>
      <c r="B135" s="5"/>
      <c r="C135" s="2">
        <f>IF(B135="","",IF(C135="",NOW(),C135))</f>
      </c>
    </row>
    <row r="136">
      <c r="A136" s="4">
        <f>IF(B136="","",ROW()-1)</f>
      </c>
      <c r="B136" s="5"/>
      <c r="C136" s="2">
        <f>IF(B136="","",IF(C136="",NOW(),C136))</f>
      </c>
    </row>
    <row r="137">
      <c r="A137" s="4">
        <f>IF(B137="","",ROW()-1)</f>
      </c>
      <c r="B137" s="5"/>
      <c r="C137" s="2">
        <f>IF(B137="","",IF(C137="",NOW(),C137))</f>
      </c>
    </row>
    <row r="138">
      <c r="A138" s="4">
        <f>IF(B138="","",ROW()-1)</f>
      </c>
      <c r="B138" s="5"/>
      <c r="C138" s="2">
        <f>IF(B138="","",IF(C138="",NOW(),C138))</f>
      </c>
    </row>
    <row r="139">
      <c r="A139" s="4">
        <f>IF(B139="","",ROW()-1)</f>
      </c>
      <c r="B139" s="5"/>
      <c r="C139" s="2">
        <f>IF(B139="","",IF(C139="",NOW(),C139))</f>
      </c>
    </row>
    <row r="140">
      <c r="A140" s="4">
        <f>IF(B140="","",ROW()-1)</f>
      </c>
      <c r="B140" s="5"/>
      <c r="C140" s="2">
        <f>IF(B140="","",IF(C140="",NOW(),C140))</f>
      </c>
    </row>
    <row r="141">
      <c r="A141" s="4">
        <f>IF(B141="","",ROW()-1)</f>
      </c>
      <c r="B141" s="5"/>
      <c r="C141" s="2">
        <f>IF(B141="","",IF(C141="",NOW(),C141))</f>
      </c>
    </row>
    <row r="142">
      <c r="A142" s="4">
        <f>IF(B142="","",ROW()-1)</f>
      </c>
      <c r="B142" s="5"/>
      <c r="C142" s="2">
        <f>IF(B142="","",IF(C142="",NOW(),C142))</f>
      </c>
    </row>
    <row r="143">
      <c r="A143" s="4">
        <f>IF(B143="","",ROW()-1)</f>
      </c>
      <c r="B143" s="5"/>
      <c r="C143" s="2">
        <f>IF(B143="","",IF(C143="",NOW(),C143))</f>
      </c>
    </row>
    <row r="144">
      <c r="A144" s="4">
        <f>IF(B144="","",ROW()-1)</f>
      </c>
      <c r="B144" s="5"/>
      <c r="C144" s="2">
        <f>IF(B144="","",IF(C144="",NOW(),C144))</f>
      </c>
    </row>
    <row r="145">
      <c r="A145" s="4">
        <f>IF(B145="","",ROW()-1)</f>
      </c>
      <c r="B145" s="5"/>
      <c r="C145" s="2">
        <f>IF(B145="","",IF(C145="",NOW(),C145))</f>
      </c>
    </row>
    <row r="146">
      <c r="A146" s="4">
        <f>IF(B146="","",ROW()-1)</f>
      </c>
      <c r="B146" s="5"/>
      <c r="C146" s="2">
        <f>IF(B146="","",IF(C146="",NOW(),C146))</f>
      </c>
    </row>
    <row r="147">
      <c r="A147" s="4">
        <f>IF(B147="","",ROW()-1)</f>
      </c>
      <c r="B147" s="5"/>
      <c r="C147" s="2">
        <f>IF(B147="","",IF(C147="",NOW(),C147))</f>
      </c>
    </row>
    <row r="148">
      <c r="A148" s="4">
        <f>IF(B148="","",ROW()-1)</f>
      </c>
      <c r="B148" s="5"/>
      <c r="C148" s="2">
        <f>IF(B148="","",IF(C148="",NOW(),C148))</f>
      </c>
    </row>
    <row r="149">
      <c r="A149" s="4">
        <f>IF(B149="","",ROW()-1)</f>
      </c>
      <c r="B149" s="5"/>
      <c r="C149" s="2">
        <f>IF(B149="","",IF(C149="",NOW(),C149))</f>
      </c>
    </row>
    <row r="150">
      <c r="A150" s="4">
        <f>IF(B150="","",ROW()-1)</f>
      </c>
      <c r="B150" s="5"/>
      <c r="C150" s="2">
        <f>IF(B150="","",IF(C150="",NOW(),C150))</f>
      </c>
    </row>
    <row r="151">
      <c r="A151" s="4">
        <f>IF(B151="","",ROW()-1)</f>
      </c>
      <c r="B151" s="5"/>
      <c r="C151" s="2">
        <f>IF(B151="","",IF(C151="",NOW(),C151))</f>
      </c>
    </row>
    <row r="152">
      <c r="A152" s="4">
        <f>IF(B152="","",ROW()-1)</f>
      </c>
      <c r="B152" s="5"/>
      <c r="C152" s="2">
        <f>IF(B152="","",IF(C152="",NOW(),C152))</f>
      </c>
    </row>
    <row r="153">
      <c r="A153" s="4">
        <f>IF(B153="","",ROW()-1)</f>
      </c>
      <c r="B153" s="5"/>
      <c r="C153" s="2">
        <f>IF(B153="","",IF(C153="",NOW(),C153))</f>
      </c>
    </row>
    <row r="154">
      <c r="A154" s="4">
        <f>IF(B154="","",ROW()-1)</f>
      </c>
      <c r="B154" s="5"/>
      <c r="C154" s="2">
        <f>IF(B154="","",IF(C154="",NOW(),C154))</f>
      </c>
    </row>
    <row r="155">
      <c r="A155" s="4">
        <f>IF(B155="","",ROW()-1)</f>
      </c>
      <c r="B155" s="5"/>
      <c r="C155" s="2">
        <f>IF(B155="","",IF(C155="",NOW(),C155))</f>
      </c>
    </row>
    <row r="156">
      <c r="A156" s="4">
        <f>IF(B156="","",ROW()-1)</f>
      </c>
      <c r="B156" s="5"/>
      <c r="C156" s="2">
        <f>IF(B156="","",IF(C156="",NOW(),C156))</f>
      </c>
    </row>
    <row r="157">
      <c r="A157" s="4">
        <f>IF(B157="","",ROW()-1)</f>
      </c>
      <c r="B157" s="5"/>
      <c r="C157" s="2">
        <f>IF(B157="","",IF(C157="",NOW(),C157))</f>
      </c>
    </row>
    <row r="158">
      <c r="A158" s="4">
        <f>IF(B158="","",ROW()-1)</f>
      </c>
      <c r="B158" s="5"/>
      <c r="C158" s="2">
        <f>IF(B158="","",IF(C158="",NOW(),C158))</f>
      </c>
    </row>
    <row r="159">
      <c r="A159" s="4">
        <f>IF(B159="","",ROW()-1)</f>
      </c>
      <c r="B159" s="5"/>
      <c r="C159" s="2">
        <f>IF(B159="","",IF(C159="",NOW(),C159))</f>
      </c>
    </row>
    <row r="160">
      <c r="A160" s="4">
        <f>IF(B160="","",ROW()-1)</f>
      </c>
      <c r="B160" s="5"/>
      <c r="C160" s="2">
        <f>IF(B160="","",IF(C160="",NOW(),C160))</f>
      </c>
    </row>
    <row r="161">
      <c r="A161" s="4">
        <f>IF(B161="","",ROW()-1)</f>
      </c>
      <c r="B161" s="5"/>
      <c r="C161" s="2">
        <f>IF(B161="","",IF(C161="",NOW(),C161))</f>
      </c>
    </row>
    <row r="162">
      <c r="A162" s="4">
        <f>IF(B162="","",ROW()-1)</f>
      </c>
      <c r="B162" s="5"/>
      <c r="C162" s="2">
        <f>IF(B162="","",IF(C162="",NOW(),C162))</f>
      </c>
    </row>
    <row r="163">
      <c r="A163" s="4">
        <f>IF(B163="","",ROW()-1)</f>
      </c>
      <c r="B163" s="5"/>
      <c r="C163" s="2">
        <f>IF(B163="","",IF(C163="",NOW(),C163))</f>
      </c>
    </row>
    <row r="164">
      <c r="A164" s="4">
        <f>IF(B164="","",ROW()-1)</f>
      </c>
      <c r="B164" s="5"/>
      <c r="C164" s="2">
        <f>IF(B164="","",IF(C164="",NOW(),C164))</f>
      </c>
    </row>
    <row r="165">
      <c r="A165" s="4">
        <f>IF(B165="","",ROW()-1)</f>
      </c>
      <c r="B165" s="5"/>
      <c r="C165" s="2">
        <f>IF(B165="","",IF(C165="",NOW(),C165))</f>
      </c>
    </row>
    <row r="166">
      <c r="A166" s="4">
        <f>IF(B166="","",ROW()-1)</f>
      </c>
      <c r="B166" s="5"/>
      <c r="C166" s="2">
        <f>IF(B166="","",IF(C166="",NOW(),C166))</f>
      </c>
    </row>
    <row r="167">
      <c r="A167" s="4">
        <f>IF(B167="","",ROW()-1)</f>
      </c>
      <c r="B167" s="5"/>
      <c r="C167" s="2">
        <f>IF(B167="","",IF(C167="",NOW(),C167))</f>
      </c>
    </row>
    <row r="168">
      <c r="A168" s="4">
        <f>IF(B168="","",ROW()-1)</f>
      </c>
      <c r="B168" s="5"/>
      <c r="C168" s="2">
        <f>IF(B168="","",IF(C168="",NOW(),C168))</f>
      </c>
    </row>
    <row r="169">
      <c r="A169" s="4">
        <f>IF(B169="","",ROW()-1)</f>
      </c>
      <c r="B169" s="5"/>
      <c r="C169" s="2">
        <f>IF(B169="","",IF(C169="",NOW(),C169))</f>
      </c>
    </row>
    <row r="170">
      <c r="A170" s="4">
        <f>IF(B170="","",ROW()-1)</f>
      </c>
      <c r="B170" s="5"/>
      <c r="C170" s="2">
        <f>IF(B170="","",IF(C170="",NOW(),C170))</f>
      </c>
    </row>
    <row r="171">
      <c r="A171" s="4">
        <f>IF(B171="","",ROW()-1)</f>
      </c>
      <c r="B171" s="5"/>
      <c r="C171" s="2">
        <f>IF(B171="","",IF(C171="",NOW(),C171))</f>
      </c>
    </row>
    <row r="172">
      <c r="A172" s="4">
        <f>IF(B172="","",ROW()-1)</f>
      </c>
      <c r="B172" s="5"/>
      <c r="C172" s="2">
        <f>IF(B172="","",IF(C172="",NOW(),C172))</f>
      </c>
    </row>
    <row r="173">
      <c r="A173" s="4">
        <f>IF(B173="","",ROW()-1)</f>
      </c>
      <c r="B173" s="5"/>
      <c r="C173" s="2">
        <f>IF(B173="","",IF(C173="",NOW(),C173))</f>
      </c>
    </row>
    <row r="174">
      <c r="A174" s="4">
        <f>IF(B174="","",ROW()-1)</f>
      </c>
      <c r="B174" s="5"/>
      <c r="C174" s="2">
        <f>IF(B174="","",IF(C174="",NOW(),C174))</f>
      </c>
    </row>
    <row r="175">
      <c r="A175" s="4">
        <f>IF(B175="","",ROW()-1)</f>
      </c>
      <c r="B175" s="5"/>
      <c r="C175" s="2">
        <f>IF(B175="","",IF(C175="",NOW(),C175))</f>
      </c>
    </row>
    <row r="176">
      <c r="A176" s="4">
        <f>IF(B176="","",ROW()-1)</f>
      </c>
      <c r="B176" s="5"/>
      <c r="C176" s="2">
        <f>IF(B176="","",IF(C176="",NOW(),C176))</f>
      </c>
    </row>
    <row r="177">
      <c r="A177" s="4">
        <f>IF(B177="","",ROW()-1)</f>
      </c>
      <c r="B177" s="5"/>
      <c r="C177" s="2">
        <f>IF(B177="","",IF(C177="",NOW(),C177))</f>
      </c>
    </row>
    <row r="178">
      <c r="A178" s="4">
        <f>IF(B178="","",ROW()-1)</f>
      </c>
      <c r="B178" s="5"/>
      <c r="C178" s="2">
        <f>IF(B178="","",IF(C178="",NOW(),C178))</f>
      </c>
    </row>
    <row r="179">
      <c r="A179" s="4">
        <f>IF(B179="","",ROW()-1)</f>
      </c>
      <c r="B179" s="5"/>
      <c r="C179" s="2">
        <f>IF(B179="","",IF(C179="",NOW(),C179))</f>
      </c>
    </row>
    <row r="180">
      <c r="A180" s="4">
        <f>IF(B180="","",ROW()-1)</f>
      </c>
      <c r="B180" s="5"/>
      <c r="C180" s="2">
        <f>IF(B180="","",IF(C180="",NOW(),C180))</f>
      </c>
    </row>
    <row r="181">
      <c r="A181" s="4">
        <f>IF(B181="","",ROW()-1)</f>
      </c>
      <c r="B181" s="5"/>
      <c r="C181" s="2">
        <f>IF(B181="","",IF(C181="",NOW(),C181))</f>
      </c>
    </row>
    <row r="182">
      <c r="A182" s="4">
        <f>IF(B182="","",ROW()-1)</f>
      </c>
      <c r="B182" s="5"/>
      <c r="C182" s="2">
        <f>IF(B182="","",IF(C182="",NOW(),C182))</f>
      </c>
    </row>
    <row r="183">
      <c r="A183" s="4">
        <f>IF(B183="","",ROW()-1)</f>
      </c>
      <c r="B183" s="5"/>
      <c r="C183" s="2">
        <f>IF(B183="","",IF(C183="",NOW(),C183))</f>
      </c>
    </row>
    <row r="184">
      <c r="A184" s="4">
        <f>IF(B184="","",ROW()-1)</f>
      </c>
      <c r="B184" s="5"/>
      <c r="C184" s="2">
        <f>IF(B184="","",IF(C184="",NOW(),C184))</f>
      </c>
    </row>
    <row r="185">
      <c r="A185" s="4">
        <f>IF(B185="","",ROW()-1)</f>
      </c>
      <c r="B185" s="5"/>
      <c r="C185" s="2">
        <f>IF(B185="","",IF(C185="",NOW(),C185))</f>
      </c>
    </row>
    <row r="186">
      <c r="A186" s="4">
        <f>IF(B186="","",ROW()-1)</f>
      </c>
      <c r="B186" s="5"/>
      <c r="C186" s="2">
        <f>IF(B186="","",IF(C186="",NOW(),C186))</f>
      </c>
    </row>
    <row r="187">
      <c r="A187" s="4">
        <f>IF(B187="","",ROW()-1)</f>
      </c>
      <c r="B187" s="5"/>
      <c r="C187" s="2">
        <f>IF(B187="","",IF(C187="",NOW(),C187))</f>
      </c>
    </row>
    <row r="188">
      <c r="A188" s="4">
        <f>IF(B188="","",ROW()-1)</f>
      </c>
      <c r="B188" s="5"/>
      <c r="C188" s="2">
        <f>IF(B188="","",IF(C188="",NOW(),C188))</f>
      </c>
    </row>
    <row r="189">
      <c r="A189" s="4">
        <f>IF(B189="","",ROW()-1)</f>
      </c>
      <c r="B189" s="5"/>
      <c r="C189" s="2">
        <f>IF(B189="","",IF(C189="",NOW(),C189))</f>
      </c>
    </row>
    <row r="190">
      <c r="A190" s="4">
        <f>IF(B190="","",ROW()-1)</f>
      </c>
      <c r="B190" s="5"/>
      <c r="C190" s="2">
        <f>IF(B190="","",IF(C190="",NOW(),C190))</f>
      </c>
    </row>
    <row r="191">
      <c r="A191" s="4">
        <f>IF(B191="","",ROW()-1)</f>
      </c>
      <c r="B191" s="5"/>
      <c r="C191" s="2">
        <f>IF(B191="","",IF(C191="",NOW(),C191))</f>
      </c>
    </row>
    <row r="192">
      <c r="A192" s="4">
        <f>IF(B192="","",ROW()-1)</f>
      </c>
      <c r="B192" s="5"/>
      <c r="C192" s="2">
        <f>IF(B192="","",IF(C192="",NOW(),C192))</f>
      </c>
    </row>
    <row r="193">
      <c r="A193" s="4">
        <f>IF(B193="","",ROW()-1)</f>
      </c>
      <c r="B193" s="5"/>
      <c r="C193" s="2">
        <f>IF(B193="","",IF(C193="",NOW(),C193))</f>
      </c>
    </row>
    <row r="194">
      <c r="A194" s="4">
        <f>IF(B194="","",ROW()-1)</f>
      </c>
      <c r="B194" s="5"/>
      <c r="C194" s="2">
        <f>IF(B194="","",IF(C194="",NOW(),C194))</f>
      </c>
    </row>
    <row r="195">
      <c r="A195" s="4">
        <f>IF(B195="","",ROW()-1)</f>
      </c>
      <c r="B195" s="5"/>
      <c r="C195" s="2">
        <f>IF(B195="","",IF(C195="",NOW(),C195))</f>
      </c>
    </row>
    <row r="196">
      <c r="A196" s="4">
        <f>IF(B196="","",ROW()-1)</f>
      </c>
      <c r="B196" s="5"/>
      <c r="C196" s="2">
        <f>IF(B196="","",IF(C196="",NOW(),C196))</f>
      </c>
    </row>
    <row r="197">
      <c r="A197" s="4">
        <f>IF(B197="","",ROW()-1)</f>
      </c>
      <c r="B197" s="5"/>
      <c r="C197" s="2">
        <f>IF(B197="","",IF(C197="",NOW(),C197))</f>
      </c>
    </row>
    <row r="198">
      <c r="A198" s="4">
        <f>IF(B198="","",ROW()-1)</f>
      </c>
      <c r="B198" s="5"/>
      <c r="C198" s="2">
        <f>IF(B198="","",IF(C198="",NOW(),C198))</f>
      </c>
    </row>
    <row r="199">
      <c r="A199" s="4">
        <f>IF(B199="","",ROW()-1)</f>
      </c>
      <c r="B199" s="5"/>
      <c r="C199" s="2">
        <f>IF(B199="","",IF(C199="",NOW(),C199))</f>
      </c>
    </row>
    <row r="200">
      <c r="A200" s="4">
        <f>IF(B200="","",ROW()-1)</f>
      </c>
      <c r="B200" s="5"/>
      <c r="C200" s="2">
        <f>IF(B200="","",IF(C200="",NOW(),C200))</f>
      </c>
    </row>
    <row r="201">
      <c r="A201" s="4">
        <f>IF(B201="","",ROW()-1)</f>
      </c>
      <c r="B201" s="5"/>
      <c r="C201" s="2">
        <f>IF(B201="","",IF(C201="",NOW(),C201))</f>
      </c>
    </row>
    <row r="202">
      <c r="A202" s="4">
        <f>IF(B202="","",ROW()-1)</f>
      </c>
      <c r="B202" s="5"/>
      <c r="C202" s="2">
        <f>IF(B202="","",IF(C202="",NOW(),C202))</f>
      </c>
    </row>
    <row r="203">
      <c r="A203" s="4">
        <f>IF(B203="","",ROW()-1)</f>
      </c>
      <c r="B203" s="5"/>
      <c r="C203" s="2">
        <f>IF(B203="","",IF(C203="",NOW(),C203))</f>
      </c>
    </row>
    <row r="204">
      <c r="A204" s="4">
        <f>IF(B204="","",ROW()-1)</f>
      </c>
      <c r="B204" s="5"/>
      <c r="C204" s="2">
        <f>IF(B204="","",IF(C204="",NOW(),C204))</f>
      </c>
    </row>
    <row r="205">
      <c r="A205" s="4">
        <f>IF(B205="","",ROW()-1)</f>
      </c>
      <c r="B205" s="5"/>
      <c r="C205" s="2">
        <f>IF(B205="","",IF(C205="",NOW(),C205))</f>
      </c>
    </row>
    <row r="206">
      <c r="A206" s="4">
        <f>IF(B206="","",ROW()-1)</f>
      </c>
      <c r="B206" s="5"/>
      <c r="C206" s="2">
        <f>IF(B206="","",IF(C206="",NOW(),C206))</f>
      </c>
    </row>
    <row r="207">
      <c r="A207" s="4">
        <f>IF(B207="","",ROW()-1)</f>
      </c>
      <c r="B207" s="5"/>
      <c r="C207" s="2">
        <f>IF(B207="","",IF(C207="",NOW(),C207))</f>
      </c>
    </row>
    <row r="208">
      <c r="A208" s="4">
        <f>IF(B208="","",ROW()-1)</f>
      </c>
      <c r="B208" s="5"/>
      <c r="C208" s="2">
        <f>IF(B208="","",IF(C208="",NOW(),C208))</f>
      </c>
    </row>
    <row r="209">
      <c r="A209" s="4">
        <f>IF(B209="","",ROW()-1)</f>
      </c>
      <c r="B209" s="5"/>
      <c r="C209" s="2">
        <f>IF(B209="","",IF(C209="",NOW(),C209))</f>
      </c>
    </row>
    <row r="210">
      <c r="A210" s="4">
        <f>IF(B210="","",ROW()-1)</f>
      </c>
      <c r="B210" s="5"/>
      <c r="C210" s="2">
        <f>IF(B210="","",IF(C210="",NOW(),C210))</f>
      </c>
    </row>
    <row r="211">
      <c r="A211" s="4">
        <f>IF(B211="","",ROW()-1)</f>
      </c>
      <c r="B211" s="5"/>
      <c r="C211" s="2">
        <f>IF(B211="","",IF(C211="",NOW(),C211))</f>
      </c>
    </row>
    <row r="212">
      <c r="A212" s="4">
        <f>IF(B212="","",ROW()-1)</f>
      </c>
      <c r="B212" s="5"/>
      <c r="C212" s="2">
        <f>IF(B212="","",IF(C212="",NOW(),C212))</f>
      </c>
    </row>
    <row r="213">
      <c r="A213" s="4">
        <f>IF(B213="","",ROW()-1)</f>
      </c>
      <c r="B213" s="5"/>
      <c r="C213" s="2">
        <f>IF(B213="","",IF(C213="",NOW(),C213))</f>
      </c>
    </row>
    <row r="214">
      <c r="A214" s="4">
        <f>IF(B214="","",ROW()-1)</f>
      </c>
      <c r="B214" s="5"/>
      <c r="C214" s="2">
        <f>IF(B214="","",IF(C214="",NOW(),C214))</f>
      </c>
    </row>
    <row r="215">
      <c r="A215" s="4">
        <f>IF(B215="","",ROW()-1)</f>
      </c>
      <c r="B215" s="5"/>
      <c r="C215" s="2">
        <f>IF(B215="","",IF(C215="",NOW(),C215))</f>
      </c>
    </row>
    <row r="216">
      <c r="A216" s="4">
        <f>IF(B216="","",ROW()-1)</f>
      </c>
      <c r="B216" s="5"/>
      <c r="C216" s="2">
        <f>IF(B216="","",IF(C216="",NOW(),C216))</f>
      </c>
    </row>
    <row r="217">
      <c r="A217" s="4">
        <f>IF(B217="","",ROW()-1)</f>
      </c>
      <c r="B217" s="5"/>
      <c r="C217" s="2">
        <f>IF(B217="","",IF(C217="",NOW(),C217))</f>
      </c>
    </row>
    <row r="218">
      <c r="A218" s="4">
        <f>IF(B218="","",ROW()-1)</f>
      </c>
      <c r="B218" s="5"/>
      <c r="C218" s="2">
        <f>IF(B218="","",IF(C218="",NOW(),C218))</f>
      </c>
    </row>
    <row r="219">
      <c r="A219" s="4">
        <f>IF(B219="","",ROW()-1)</f>
      </c>
      <c r="B219" s="5"/>
      <c r="C219" s="2">
        <f>IF(B219="","",IF(C219="",NOW(),C219))</f>
      </c>
    </row>
    <row r="220">
      <c r="A220" s="4">
        <f>IF(B220="","",ROW()-1)</f>
      </c>
      <c r="B220" s="5"/>
      <c r="C220" s="2">
        <f>IF(B220="","",IF(C220="",NOW(),C220))</f>
      </c>
    </row>
    <row r="221">
      <c r="A221" s="4">
        <f>IF(B221="","",ROW()-1)</f>
      </c>
      <c r="B221" s="5"/>
      <c r="C221" s="2">
        <f>IF(B221="","",IF(C221="",NOW(),C221))</f>
      </c>
    </row>
    <row r="222">
      <c r="A222" s="4">
        <f>IF(B222="","",ROW()-1)</f>
      </c>
      <c r="B222" s="5"/>
      <c r="C222" s="2">
        <f>IF(B222="","",IF(C222="",NOW(),C222))</f>
      </c>
    </row>
    <row r="223">
      <c r="A223" s="4">
        <f>IF(B223="","",ROW()-1)</f>
      </c>
      <c r="B223" s="5"/>
      <c r="C223" s="2">
        <f>IF(B223="","",IF(C223="",NOW(),C223))</f>
      </c>
    </row>
    <row r="224">
      <c r="A224" s="4">
        <f>IF(B224="","",ROW()-1)</f>
      </c>
      <c r="B224" s="5"/>
      <c r="C224" s="2">
        <f>IF(B224="","",IF(C224="",NOW(),C224))</f>
      </c>
    </row>
    <row r="225">
      <c r="A225" s="4">
        <f>IF(B225="","",ROW()-1)</f>
      </c>
      <c r="B225" s="5"/>
      <c r="C225" s="2">
        <f>IF(B225="","",IF(C225="",NOW(),C225))</f>
      </c>
    </row>
    <row r="226">
      <c r="A226" s="4">
        <f>IF(B226="","",ROW()-1)</f>
      </c>
      <c r="B226" s="5"/>
      <c r="C226" s="2">
        <f>IF(B226="","",IF(C226="",NOW(),C226))</f>
      </c>
    </row>
    <row r="227">
      <c r="A227" s="4">
        <f>IF(B227="","",ROW()-1)</f>
      </c>
      <c r="B227" s="5"/>
      <c r="C227" s="2">
        <f>IF(B227="","",IF(C227="",NOW(),C227))</f>
      </c>
    </row>
    <row r="228">
      <c r="A228" s="4">
        <f>IF(B228="","",ROW()-1)</f>
      </c>
      <c r="B228" s="5"/>
      <c r="C228" s="2">
        <f>IF(B228="","",IF(C228="",NOW(),C228))</f>
      </c>
    </row>
    <row r="229">
      <c r="A229" s="4">
        <f>IF(B229="","",ROW()-1)</f>
      </c>
      <c r="B229" s="5"/>
      <c r="C229" s="2">
        <f>IF(B229="","",IF(C229="",NOW(),C229))</f>
      </c>
    </row>
    <row r="230">
      <c r="A230" s="4">
        <f>IF(B230="","",ROW()-1)</f>
      </c>
      <c r="B230" s="5"/>
      <c r="C230" s="2">
        <f>IF(B230="","",IF(C230="",NOW(),C230))</f>
      </c>
    </row>
    <row r="231">
      <c r="A231" s="4">
        <f>IF(B231="","",ROW()-1)</f>
      </c>
      <c r="B231" s="5"/>
      <c r="C231" s="2">
        <f>IF(B231="","",IF(C231="",NOW(),C231))</f>
      </c>
    </row>
    <row r="232">
      <c r="A232" s="4">
        <f>IF(B232="","",ROW()-1)</f>
      </c>
      <c r="B232" s="5"/>
      <c r="C232" s="2">
        <f>IF(B232="","",IF(C232="",NOW(),C232))</f>
      </c>
    </row>
    <row r="233">
      <c r="A233" s="4">
        <f>IF(B233="","",ROW()-1)</f>
      </c>
      <c r="B233" s="5"/>
      <c r="C233" s="2">
        <f>IF(B233="","",IF(C233="",NOW(),C233))</f>
      </c>
    </row>
    <row r="234">
      <c r="A234" s="4">
        <f>IF(B234="","",ROW()-1)</f>
      </c>
      <c r="B234" s="5"/>
      <c r="C234" s="2">
        <f>IF(B234="","",IF(C234="",NOW(),C234))</f>
      </c>
    </row>
    <row r="235">
      <c r="A235" s="4">
        <f>IF(B235="","",ROW()-1)</f>
      </c>
      <c r="B235" s="5"/>
      <c r="C235" s="2">
        <f>IF(B235="","",IF(C235="",NOW(),C235))</f>
      </c>
    </row>
    <row r="236">
      <c r="A236" s="4">
        <f>IF(B236="","",ROW()-1)</f>
      </c>
      <c r="B236" s="5"/>
      <c r="C236" s="2">
        <f>IF(B236="","",IF(C236="",NOW(),C236))</f>
      </c>
    </row>
    <row r="237">
      <c r="A237" s="4">
        <f>IF(B237="","",ROW()-1)</f>
      </c>
      <c r="B237" s="5"/>
      <c r="C237" s="2">
        <f>IF(B237="","",IF(C237="",NOW(),C237))</f>
      </c>
    </row>
    <row r="238">
      <c r="A238" s="4">
        <f>IF(B238="","",ROW()-1)</f>
      </c>
      <c r="B238" s="5"/>
      <c r="C238" s="2">
        <f>IF(B238="","",IF(C238="",NOW(),C238))</f>
      </c>
    </row>
    <row r="239">
      <c r="A239" s="4">
        <f>IF(B239="","",ROW()-1)</f>
      </c>
      <c r="B239" s="5"/>
      <c r="C239" s="2">
        <f>IF(B239="","",IF(C239="",NOW(),C239))</f>
      </c>
    </row>
    <row r="240">
      <c r="A240" s="4">
        <f>IF(B240="","",ROW()-1)</f>
      </c>
      <c r="B240" s="5"/>
      <c r="C240" s="2">
        <f>IF(B240="","",IF(C240="",NOW(),C240))</f>
      </c>
    </row>
    <row r="241">
      <c r="A241" s="4">
        <f>IF(B241="","",ROW()-1)</f>
      </c>
      <c r="B241" s="5"/>
      <c r="C241" s="2">
        <f>IF(B241="","",IF(C241="",NOW(),C241))</f>
      </c>
    </row>
    <row r="242">
      <c r="A242" s="4">
        <f>IF(B242="","",ROW()-1)</f>
      </c>
      <c r="B242" s="5"/>
      <c r="C242" s="2">
        <f>IF(B242="","",IF(C242="",NOW(),C242))</f>
      </c>
    </row>
    <row r="243">
      <c r="A243" s="4">
        <f>IF(B243="","",ROW()-1)</f>
      </c>
      <c r="B243" s="5"/>
      <c r="C243" s="2">
        <f>IF(B243="","",IF(C243="",NOW(),C243))</f>
      </c>
    </row>
    <row r="244">
      <c r="A244" s="4">
        <f>IF(B244="","",ROW()-1)</f>
      </c>
      <c r="B244" s="5"/>
      <c r="C244" s="2">
        <f>IF(B244="","",IF(C244="",NOW(),C244))</f>
      </c>
    </row>
    <row r="245">
      <c r="A245" s="4">
        <f>IF(B245="","",ROW()-1)</f>
      </c>
      <c r="B245" s="5"/>
      <c r="C245" s="2">
        <f>IF(B245="","",IF(C245="",NOW(),C245))</f>
      </c>
    </row>
    <row r="246">
      <c r="A246" s="4">
        <f>IF(B246="","",ROW()-1)</f>
      </c>
      <c r="B246" s="5"/>
      <c r="C246" s="2">
        <f>IF(B246="","",IF(C246="",NOW(),C246))</f>
      </c>
    </row>
    <row r="247">
      <c r="A247" s="4">
        <f>IF(B247="","",ROW()-1)</f>
      </c>
      <c r="B247" s="5"/>
      <c r="C247" s="2">
        <f>IF(B247="","",IF(C247="",NOW(),C247))</f>
      </c>
    </row>
    <row r="248">
      <c r="A248" s="4">
        <f>IF(B248="","",ROW()-1)</f>
      </c>
      <c r="B248" s="5"/>
      <c r="C248" s="2">
        <f>IF(B248="","",IF(C248="",NOW(),C248))</f>
      </c>
    </row>
    <row r="249">
      <c r="A249" s="4">
        <f>IF(B249="","",ROW()-1)</f>
      </c>
      <c r="B249" s="5"/>
      <c r="C249" s="2">
        <f>IF(B249="","",IF(C249="",NOW(),C249))</f>
      </c>
    </row>
    <row r="250">
      <c r="A250" s="4">
        <f>IF(B250="","",ROW()-1)</f>
      </c>
      <c r="B250" s="5"/>
      <c r="C250" s="2">
        <f>IF(B250="","",IF(C250="",NOW(),C250))</f>
      </c>
    </row>
    <row r="251">
      <c r="A251" s="4">
        <f>IF(B251="","",ROW()-1)</f>
      </c>
      <c r="B251" s="5"/>
      <c r="C251" s="2">
        <f>IF(B251="","",IF(C251="",NOW(),C251))</f>
      </c>
    </row>
    <row r="252">
      <c r="A252" s="4">
        <f>IF(B252="","",ROW()-1)</f>
      </c>
      <c r="B252" s="5"/>
      <c r="C252" s="2">
        <f>IF(B252="","",IF(C252="",NOW(),C252))</f>
      </c>
    </row>
    <row r="253">
      <c r="A253" s="4">
        <f>IF(B253="","",ROW()-1)</f>
      </c>
      <c r="B253" s="5"/>
      <c r="C253" s="2">
        <f>IF(B253="","",IF(C253="",NOW(),C253))</f>
      </c>
    </row>
    <row r="254">
      <c r="A254" s="4">
        <f>IF(B254="","",ROW()-1)</f>
      </c>
      <c r="B254" s="5"/>
      <c r="C254" s="2">
        <f>IF(B254="","",IF(C254="",NOW(),C254))</f>
      </c>
    </row>
    <row r="255">
      <c r="A255" s="4">
        <f>IF(B255="","",ROW()-1)</f>
      </c>
      <c r="B255" s="5"/>
      <c r="C255" s="2">
        <f>IF(B255="","",IF(C255="",NOW(),C255))</f>
      </c>
    </row>
    <row r="256">
      <c r="A256" s="4">
        <f>IF(B256="","",ROW()-1)</f>
      </c>
      <c r="B256" s="5"/>
      <c r="C256" s="2">
        <f>IF(B256="","",IF(C256="",NOW(),C256))</f>
      </c>
    </row>
    <row r="257">
      <c r="A257" s="4">
        <f>IF(B257="","",ROW()-1)</f>
      </c>
      <c r="B257" s="5"/>
      <c r="C257" s="2">
        <f>IF(B257="","",IF(C257="",NOW(),C257))</f>
      </c>
    </row>
    <row r="258">
      <c r="A258" s="4">
        <f>IF(B258="","",ROW()-1)</f>
      </c>
      <c r="B258" s="5"/>
      <c r="C258" s="2">
        <f>IF(B258="","",IF(C258="",NOW(),C258))</f>
      </c>
    </row>
    <row r="259">
      <c r="A259" s="4">
        <f>IF(B259="","",ROW()-1)</f>
      </c>
      <c r="B259" s="5"/>
      <c r="C259" s="2">
        <f>IF(B259="","",IF(C259="",NOW(),C259))</f>
      </c>
    </row>
    <row r="260">
      <c r="A260" s="4">
        <f>IF(B260="","",ROW()-1)</f>
      </c>
      <c r="B260" s="5"/>
      <c r="C260" s="2">
        <f>IF(B260="","",IF(C260="",NOW(),C260))</f>
      </c>
    </row>
    <row r="261">
      <c r="A261" s="4">
        <f>IF(B261="","",ROW()-1)</f>
      </c>
      <c r="B261" s="5"/>
      <c r="C261" s="2">
        <f>IF(B261="","",IF(C261="",NOW(),C261))</f>
      </c>
    </row>
    <row r="262">
      <c r="A262" s="4">
        <f>IF(B262="","",ROW()-1)</f>
      </c>
      <c r="B262" s="5"/>
      <c r="C262" s="2">
        <f>IF(B262="","",IF(C262="",NOW(),C262))</f>
      </c>
    </row>
    <row r="263">
      <c r="A263" s="4">
        <f>IF(B263="","",ROW()-1)</f>
      </c>
      <c r="B263" s="5"/>
      <c r="C263" s="2">
        <f>IF(B263="","",IF(C263="",NOW(),C263))</f>
      </c>
    </row>
    <row r="264">
      <c r="A264" s="4">
        <f>IF(B264="","",ROW()-1)</f>
      </c>
      <c r="B264" s="5"/>
      <c r="C264" s="2">
        <f>IF(B264="","",IF(C264="",NOW(),C264))</f>
      </c>
    </row>
    <row r="265">
      <c r="A265" s="4">
        <f>IF(B265="","",ROW()-1)</f>
      </c>
      <c r="B265" s="5"/>
      <c r="C265" s="2">
        <f>IF(B265="","",IF(C265="",NOW(),C265))</f>
      </c>
    </row>
    <row r="266">
      <c r="A266" s="4">
        <f>IF(B266="","",ROW()-1)</f>
      </c>
      <c r="B266" s="5"/>
      <c r="C266" s="2">
        <f>IF(B266="","",IF(C266="",NOW(),C266))</f>
      </c>
    </row>
    <row r="267">
      <c r="A267" s="4">
        <f>IF(B267="","",ROW()-1)</f>
      </c>
      <c r="B267" s="5"/>
      <c r="C267" s="2">
        <f>IF(B267="","",IF(C267="",NOW(),C267))</f>
      </c>
    </row>
    <row r="268">
      <c r="A268" s="4">
        <f>IF(B268="","",ROW()-1)</f>
      </c>
      <c r="B268" s="5"/>
      <c r="C268" s="2">
        <f>IF(B268="","",IF(C268="",NOW(),C268))</f>
      </c>
    </row>
    <row r="269">
      <c r="A269" s="4">
        <f>IF(B269="","",ROW()-1)</f>
      </c>
      <c r="B269" s="5"/>
      <c r="C269" s="2">
        <f>IF(B269="","",IF(C269="",NOW(),C269))</f>
      </c>
    </row>
    <row r="270">
      <c r="A270" s="4">
        <f>IF(B270="","",ROW()-1)</f>
      </c>
      <c r="B270" s="5"/>
      <c r="C270" s="2">
        <f>IF(B270="","",IF(C270="",NOW(),C270))</f>
      </c>
    </row>
    <row r="271">
      <c r="A271" s="4">
        <f>IF(B271="","",ROW()-1)</f>
      </c>
      <c r="B271" s="5"/>
      <c r="C271" s="2">
        <f>IF(B271="","",IF(C271="",NOW(),C271))</f>
      </c>
    </row>
    <row r="272">
      <c r="A272" s="4">
        <f>IF(B272="","",ROW()-1)</f>
      </c>
      <c r="B272" s="5"/>
      <c r="C272" s="2">
        <f>IF(B272="","",IF(C272="",NOW(),C272))</f>
      </c>
    </row>
    <row r="273">
      <c r="A273" s="4">
        <f>IF(B273="","",ROW()-1)</f>
      </c>
      <c r="B273" s="5"/>
      <c r="C273" s="2">
        <f>IF(B273="","",IF(C273="",NOW(),C273))</f>
      </c>
    </row>
    <row r="274">
      <c r="A274" s="4">
        <f>IF(B274="","",ROW()-1)</f>
      </c>
      <c r="B274" s="5"/>
      <c r="C274" s="2">
        <f>IF(B274="","",IF(C274="",NOW(),C274))</f>
      </c>
    </row>
    <row r="275">
      <c r="A275" s="4">
        <f>IF(B275="","",ROW()-1)</f>
      </c>
      <c r="B275" s="5"/>
      <c r="C275" s="2">
        <f>IF(B275="","",IF(C275="",NOW(),C275))</f>
      </c>
    </row>
    <row r="276">
      <c r="A276" s="4">
        <f>IF(B276="","",ROW()-1)</f>
      </c>
      <c r="B276" s="5"/>
      <c r="C276" s="2">
        <f>IF(B276="","",IF(C276="",NOW(),C276))</f>
      </c>
    </row>
    <row r="277">
      <c r="A277" s="4">
        <f>IF(B277="","",ROW()-1)</f>
      </c>
      <c r="B277" s="5"/>
      <c r="C277" s="2">
        <f>IF(B277="","",IF(C277="",NOW(),C277))</f>
      </c>
    </row>
    <row r="278">
      <c r="A278" s="4">
        <f>IF(B278="","",ROW()-1)</f>
      </c>
      <c r="B278" s="5"/>
      <c r="C278" s="2">
        <f>IF(B278="","",IF(C278="",NOW(),C278))</f>
      </c>
    </row>
    <row r="279">
      <c r="A279" s="4">
        <f>IF(B279="","",ROW()-1)</f>
      </c>
      <c r="B279" s="5"/>
      <c r="C279" s="2">
        <f>IF(B279="","",IF(C279="",NOW(),C279))</f>
      </c>
    </row>
    <row r="280">
      <c r="A280" s="4">
        <f>IF(B280="","",ROW()-1)</f>
      </c>
      <c r="B280" s="5"/>
      <c r="C280" s="2">
        <f>IF(B280="","",IF(C280="",NOW(),C280))</f>
      </c>
    </row>
    <row r="281">
      <c r="A281" s="4">
        <f>IF(B281="","",ROW()-1)</f>
      </c>
      <c r="B281" s="5"/>
      <c r="C281" s="2">
        <f>IF(B281="","",IF(C281="",NOW(),C281))</f>
      </c>
    </row>
    <row r="282">
      <c r="A282" s="4">
        <f>IF(B282="","",ROW()-1)</f>
      </c>
      <c r="B282" s="5"/>
      <c r="C282" s="2">
        <f>IF(B282="","",IF(C282="",NOW(),C282))</f>
      </c>
    </row>
    <row r="283">
      <c r="A283" s="4">
        <f>IF(B283="","",ROW()-1)</f>
      </c>
      <c r="B283" s="5"/>
      <c r="C283" s="2">
        <f>IF(B283="","",IF(C283="",NOW(),C283))</f>
      </c>
    </row>
    <row r="284">
      <c r="A284" s="4">
        <f>IF(B284="","",ROW()-1)</f>
      </c>
      <c r="B284" s="5"/>
      <c r="C284" s="2">
        <f>IF(B284="","",IF(C284="",NOW(),C284))</f>
      </c>
    </row>
    <row r="285">
      <c r="A285" s="4">
        <f>IF(B285="","",ROW()-1)</f>
      </c>
      <c r="B285" s="5"/>
      <c r="C285" s="2">
        <f>IF(B285="","",IF(C285="",NOW(),C285))</f>
      </c>
    </row>
    <row r="286">
      <c r="A286" s="4">
        <f>IF(B286="","",ROW()-1)</f>
      </c>
      <c r="B286" s="5"/>
      <c r="C286" s="2">
        <f>IF(B286="","",IF(C286="",NOW(),C286))</f>
      </c>
    </row>
    <row r="287">
      <c r="A287" s="4">
        <f>IF(B287="","",ROW()-1)</f>
      </c>
      <c r="B287" s="5"/>
      <c r="C287" s="2">
        <f>IF(B287="","",IF(C287="",NOW(),C287))</f>
      </c>
    </row>
    <row r="288">
      <c r="A288" s="4">
        <f>IF(B288="","",ROW()-1)</f>
      </c>
      <c r="B288" s="5"/>
      <c r="C288" s="2">
        <f>IF(B288="","",IF(C288="",NOW(),C288))</f>
      </c>
    </row>
    <row r="289">
      <c r="A289" s="4">
        <f>IF(B289="","",ROW()-1)</f>
      </c>
      <c r="B289" s="5"/>
      <c r="C289" s="2">
        <f>IF(B289="","",IF(C289="",NOW(),C289))</f>
      </c>
    </row>
    <row r="290">
      <c r="A290" s="4">
        <f>IF(B290="","",ROW()-1)</f>
      </c>
      <c r="B290" s="5"/>
      <c r="C290" s="2">
        <f>IF(B290="","",IF(C290="",NOW(),C290))</f>
      </c>
    </row>
    <row r="291">
      <c r="A291" s="4">
        <f>IF(B291="","",ROW()-1)</f>
      </c>
      <c r="B291" s="5"/>
      <c r="C291" s="2">
        <f>IF(B291="","",IF(C291="",NOW(),C291))</f>
      </c>
    </row>
    <row r="292">
      <c r="A292" s="4">
        <f>IF(B292="","",ROW()-1)</f>
      </c>
      <c r="B292" s="5"/>
      <c r="C292" s="2">
        <f>IF(B292="","",IF(C292="",NOW(),C292))</f>
      </c>
    </row>
    <row r="293">
      <c r="A293" s="4">
        <f>IF(B293="","",ROW()-1)</f>
      </c>
      <c r="B293" s="5"/>
      <c r="C293" s="2">
        <f>IF(B293="","",IF(C293="",NOW(),C293))</f>
      </c>
    </row>
    <row r="294">
      <c r="A294" s="4">
        <f>IF(B294="","",ROW()-1)</f>
      </c>
      <c r="B294" s="5"/>
      <c r="C294" s="2">
        <f>IF(B294="","",IF(C294="",NOW(),C294))</f>
      </c>
    </row>
    <row r="295">
      <c r="A295" s="4">
        <f>IF(B295="","",ROW()-1)</f>
      </c>
      <c r="B295" s="5"/>
      <c r="C295" s="2">
        <f>IF(B295="","",IF(C295="",NOW(),C295))</f>
      </c>
    </row>
    <row r="296">
      <c r="A296" s="4">
        <f>IF(B296="","",ROW()-1)</f>
      </c>
      <c r="B296" s="5"/>
      <c r="C296" s="2">
        <f>IF(B296="","",IF(C296="",NOW(),C296))</f>
      </c>
    </row>
    <row r="297">
      <c r="A297" s="4">
        <f>IF(B297="","",ROW()-1)</f>
      </c>
      <c r="B297" s="5"/>
      <c r="C297" s="2">
        <f>IF(B297="","",IF(C297="",NOW(),C297))</f>
      </c>
    </row>
    <row r="298">
      <c r="A298" s="4">
        <f>IF(B298="","",ROW()-1)</f>
      </c>
      <c r="B298" s="5"/>
      <c r="C298" s="2">
        <f>IF(B298="","",IF(C298="",NOW(),C298))</f>
      </c>
    </row>
    <row r="299">
      <c r="A299" s="4">
        <f>IF(B299="","",ROW()-1)</f>
      </c>
      <c r="B299" s="5"/>
      <c r="C299" s="2">
        <f>IF(B299="","",IF(C299="",NOW(),C299))</f>
      </c>
    </row>
    <row r="300">
      <c r="A300" s="4">
        <f>IF(B300="","",ROW()-1)</f>
      </c>
      <c r="B300" s="5"/>
      <c r="C300" s="2">
        <f>IF(B300="","",IF(C300="",NOW(),C300))</f>
      </c>
    </row>
    <row r="301">
      <c r="A301" s="4">
        <f>IF(B301="","",ROW()-1)</f>
      </c>
      <c r="B301" s="5"/>
      <c r="C301" s="2">
        <f>IF(B301="","",IF(C301="",NOW(),C301))</f>
      </c>
    </row>
    <row r="302">
      <c r="A302" s="4">
        <f>IF(B302="","",ROW()-1)</f>
      </c>
      <c r="B302" s="5"/>
      <c r="C302" s="2">
        <f>IF(B302="","",IF(C302="",NOW(),C302))</f>
      </c>
    </row>
    <row r="303">
      <c r="A303" s="4">
        <f>IF(B303="","",ROW()-1)</f>
      </c>
      <c r="B303" s="5"/>
      <c r="C303" s="2">
        <f>IF(B303="","",IF(C303="",NOW(),C303))</f>
      </c>
    </row>
    <row r="304">
      <c r="A304" s="4">
        <f>IF(B304="","",ROW()-1)</f>
      </c>
      <c r="B304" s="5"/>
      <c r="C304" s="2">
        <f>IF(B304="","",IF(C304="",NOW(),C304))</f>
      </c>
    </row>
    <row r="305">
      <c r="A305" s="4">
        <f>IF(B305="","",ROW()-1)</f>
      </c>
      <c r="B305" s="5"/>
      <c r="C305" s="2">
        <f>IF(B305="","",IF(C305="",NOW(),C305))</f>
      </c>
    </row>
    <row r="306">
      <c r="A306" s="4">
        <f>IF(B306="","",ROW()-1)</f>
      </c>
      <c r="B306" s="5"/>
      <c r="C306" s="2">
        <f>IF(B306="","",IF(C306="",NOW(),C306))</f>
      </c>
    </row>
    <row r="307">
      <c r="A307" s="4">
        <f>IF(B307="","",ROW()-1)</f>
      </c>
      <c r="B307" s="5"/>
      <c r="C307" s="2">
        <f>IF(B307="","",IF(C307="",NOW(),C307))</f>
      </c>
    </row>
    <row r="308">
      <c r="A308" s="4">
        <f>IF(B308="","",ROW()-1)</f>
      </c>
      <c r="B308" s="5"/>
      <c r="C308" s="2">
        <f>IF(B308="","",IF(C308="",NOW(),C308))</f>
      </c>
    </row>
    <row r="309">
      <c r="A309" s="4">
        <f>IF(B309="","",ROW()-1)</f>
      </c>
      <c r="B309" s="5"/>
      <c r="C309" s="2">
        <f>IF(B309="","",IF(C309="",NOW(),C309))</f>
      </c>
    </row>
    <row r="310">
      <c r="A310" s="4">
        <f>IF(B310="","",ROW()-1)</f>
      </c>
      <c r="B310" s="5"/>
      <c r="C310" s="2">
        <f>IF(B310="","",IF(C310="",NOW(),C310))</f>
      </c>
    </row>
    <row r="311">
      <c r="A311" s="4">
        <f>IF(B311="","",ROW()-1)</f>
      </c>
      <c r="B311" s="5"/>
      <c r="C311" s="2">
        <f>IF(B311="","",IF(C311="",NOW(),C311))</f>
      </c>
    </row>
    <row r="312">
      <c r="A312" s="4">
        <f>IF(B312="","",ROW()-1)</f>
      </c>
      <c r="B312" s="5"/>
      <c r="C312" s="2">
        <f>IF(B312="","",IF(C312="",NOW(),C312))</f>
      </c>
    </row>
    <row r="313">
      <c r="A313" s="4">
        <f>IF(B313="","",ROW()-1)</f>
      </c>
      <c r="B313" s="5"/>
      <c r="C313" s="2">
        <f>IF(B313="","",IF(C313="",NOW(),C313))</f>
      </c>
    </row>
    <row r="314">
      <c r="A314" s="4">
        <f>IF(B314="","",ROW()-1)</f>
      </c>
      <c r="B314" s="5"/>
      <c r="C314" s="2">
        <f>IF(B314="","",IF(C314="",NOW(),C314))</f>
      </c>
    </row>
    <row r="315">
      <c r="A315" s="4">
        <f>IF(B315="","",ROW()-1)</f>
      </c>
      <c r="B315" s="5"/>
      <c r="C315" s="2">
        <f>IF(B315="","",IF(C315="",NOW(),C315))</f>
      </c>
    </row>
    <row r="316">
      <c r="A316" s="4">
        <f>IF(B316="","",ROW()-1)</f>
      </c>
      <c r="B316" s="5"/>
      <c r="C316" s="2">
        <f>IF(B316="","",IF(C316="",NOW(),C316))</f>
      </c>
    </row>
    <row r="317">
      <c r="A317" s="4">
        <f>IF(B317="","",ROW()-1)</f>
      </c>
      <c r="B317" s="5"/>
      <c r="C317" s="2">
        <f>IF(B317="","",IF(C317="",NOW(),C317))</f>
      </c>
    </row>
    <row r="318">
      <c r="A318" s="4">
        <f>IF(B318="","",ROW()-1)</f>
      </c>
      <c r="B318" s="5"/>
      <c r="C318" s="2">
        <f>IF(B318="","",IF(C318="",NOW(),C318))</f>
      </c>
    </row>
    <row r="319">
      <c r="A319" s="4">
        <f>IF(B319="","",ROW()-1)</f>
      </c>
      <c r="B319" s="5"/>
      <c r="C319" s="2">
        <f>IF(B319="","",IF(C319="",NOW(),C319))</f>
      </c>
    </row>
    <row r="320">
      <c r="A320" s="4">
        <f>IF(B320="","",ROW()-1)</f>
      </c>
      <c r="B320" s="5"/>
      <c r="C320" s="2">
        <f>IF(B320="","",IF(C320="",NOW(),C320))</f>
      </c>
    </row>
    <row r="321">
      <c r="A321" s="4">
        <f>IF(B321="","",ROW()-1)</f>
      </c>
      <c r="B321" s="5"/>
      <c r="C321" s="2">
        <f>IF(B321="","",IF(C321="",NOW(),C321))</f>
      </c>
    </row>
    <row r="322">
      <c r="A322" s="4">
        <f>IF(B322="","",ROW()-1)</f>
      </c>
      <c r="B322" s="5"/>
      <c r="C322" s="2">
        <f>IF(B322="","",IF(C322="",NOW(),C322))</f>
      </c>
    </row>
    <row r="323">
      <c r="A323" s="4">
        <f>IF(B323="","",ROW()-1)</f>
      </c>
      <c r="B323" s="5"/>
      <c r="C323" s="2">
        <f>IF(B323="","",IF(C323="",NOW(),C323))</f>
      </c>
    </row>
    <row r="324">
      <c r="A324" s="4">
        <f>IF(B324="","",ROW()-1)</f>
      </c>
      <c r="B324" s="5"/>
      <c r="C324" s="2">
        <f>IF(B324="","",IF(C324="",NOW(),C324))</f>
      </c>
    </row>
    <row r="325">
      <c r="A325" s="4">
        <f>IF(B325="","",ROW()-1)</f>
      </c>
      <c r="B325" s="5"/>
      <c r="C325" s="2">
        <f>IF(B325="","",IF(C325="",NOW(),C325))</f>
      </c>
    </row>
    <row r="326">
      <c r="A326" s="4">
        <f>IF(B326="","",ROW()-1)</f>
      </c>
      <c r="B326" s="5"/>
      <c r="C326" s="2">
        <f>IF(B326="","",IF(C326="",NOW(),C326))</f>
      </c>
    </row>
    <row r="327">
      <c r="A327" s="4">
        <f>IF(B327="","",ROW()-1)</f>
      </c>
      <c r="B327" s="5"/>
      <c r="C327" s="2">
        <f>IF(B327="","",IF(C327="",NOW(),C327))</f>
      </c>
    </row>
    <row r="328">
      <c r="A328" s="4">
        <f>IF(B328="","",ROW()-1)</f>
      </c>
      <c r="B328" s="5"/>
      <c r="C328" s="2">
        <f>IF(B328="","",IF(C328="",NOW(),C328))</f>
      </c>
    </row>
    <row r="329">
      <c r="A329" s="4">
        <f>IF(B329="","",ROW()-1)</f>
      </c>
      <c r="B329" s="5"/>
      <c r="C329" s="2">
        <f>IF(B329="","",IF(C329="",NOW(),C329))</f>
      </c>
    </row>
    <row r="330">
      <c r="A330" s="4">
        <f>IF(B330="","",ROW()-1)</f>
      </c>
      <c r="B330" s="5"/>
      <c r="C330" s="2">
        <f>IF(B330="","",IF(C330="",NOW(),C330))</f>
      </c>
    </row>
    <row r="331">
      <c r="A331" s="4">
        <f>IF(B331="","",ROW()-1)</f>
      </c>
      <c r="B331" s="5"/>
      <c r="C331" s="2">
        <f>IF(B331="","",IF(C331="",NOW(),C331))</f>
      </c>
    </row>
    <row r="332">
      <c r="A332" s="4">
        <f>IF(B332="","",ROW()-1)</f>
      </c>
      <c r="B332" s="5"/>
      <c r="C332" s="2">
        <f>IF(B332="","",IF(C332="",NOW(),C332))</f>
      </c>
    </row>
    <row r="333">
      <c r="A333" s="4">
        <f>IF(B333="","",ROW()-1)</f>
      </c>
      <c r="B333" s="5"/>
      <c r="C333" s="2">
        <f>IF(B333="","",IF(C333="",NOW(),C333))</f>
      </c>
    </row>
    <row r="334">
      <c r="A334" s="4">
        <f>IF(B334="","",ROW()-1)</f>
      </c>
      <c r="B334" s="5"/>
      <c r="C334" s="2">
        <f>IF(B334="","",IF(C334="",NOW(),C334))</f>
      </c>
    </row>
    <row r="335">
      <c r="A335" s="4">
        <f>IF(B335="","",ROW()-1)</f>
      </c>
      <c r="B335" s="5"/>
      <c r="C335" s="2">
        <f>IF(B335="","",IF(C335="",NOW(),C335))</f>
      </c>
    </row>
    <row r="336">
      <c r="A336" s="4">
        <f>IF(B336="","",ROW()-1)</f>
      </c>
      <c r="B336" s="5"/>
      <c r="C336" s="2">
        <f>IF(B336="","",IF(C336="",NOW(),C336))</f>
      </c>
    </row>
    <row r="337">
      <c r="A337" s="4">
        <f>IF(B337="","",ROW()-1)</f>
      </c>
      <c r="B337" s="5"/>
      <c r="C337" s="2">
        <f>IF(B337="","",IF(C337="",NOW(),C337))</f>
      </c>
    </row>
    <row r="338">
      <c r="A338" s="4">
        <f>IF(B338="","",ROW()-1)</f>
      </c>
      <c r="B338" s="5"/>
      <c r="C338" s="2">
        <f>IF(B338="","",IF(C338="",NOW(),C338))</f>
      </c>
    </row>
    <row r="339">
      <c r="A339" s="4">
        <f>IF(B339="","",ROW()-1)</f>
      </c>
      <c r="B339" s="5"/>
      <c r="C339" s="2">
        <f>IF(B339="","",IF(C339="",NOW(),C339))</f>
      </c>
    </row>
    <row r="340">
      <c r="A340" s="4">
        <f>IF(B340="","",ROW()-1)</f>
      </c>
      <c r="B340" s="5"/>
      <c r="C340" s="2">
        <f>IF(B340="","",IF(C340="",NOW(),C340))</f>
      </c>
    </row>
    <row r="341">
      <c r="A341" s="4">
        <f>IF(B341="","",ROW()-1)</f>
      </c>
      <c r="B341" s="5"/>
      <c r="C341" s="2">
        <f>IF(B341="","",IF(C341="",NOW(),C341))</f>
      </c>
    </row>
    <row r="342">
      <c r="A342" s="4">
        <f>IF(B342="","",ROW()-1)</f>
      </c>
      <c r="B342" s="5"/>
      <c r="C342" s="2">
        <f>IF(B342="","",IF(C342="",NOW(),C342))</f>
      </c>
    </row>
    <row r="343">
      <c r="A343" s="4">
        <f>IF(B343="","",ROW()-1)</f>
      </c>
      <c r="B343" s="5"/>
      <c r="C343" s="2">
        <f>IF(B343="","",IF(C343="",NOW(),C343))</f>
      </c>
    </row>
    <row r="344">
      <c r="A344" s="4">
        <f>IF(B344="","",ROW()-1)</f>
      </c>
      <c r="B344" s="5"/>
      <c r="C344" s="2">
        <f>IF(B344="","",IF(C344="",NOW(),C344))</f>
      </c>
    </row>
    <row r="345">
      <c r="A345" s="4">
        <f>IF(B345="","",ROW()-1)</f>
      </c>
      <c r="B345" s="5"/>
      <c r="C345" s="2">
        <f>IF(B345="","",IF(C345="",NOW(),C345))</f>
      </c>
    </row>
    <row r="346">
      <c r="A346" s="4">
        <f>IF(B346="","",ROW()-1)</f>
      </c>
      <c r="B346" s="5"/>
      <c r="C346" s="2">
        <f>IF(B346="","",IF(C346="",NOW(),C346))</f>
      </c>
    </row>
    <row r="347">
      <c r="A347" s="4">
        <f>IF(B347="","",ROW()-1)</f>
      </c>
      <c r="B347" s="5"/>
      <c r="C347" s="2">
        <f>IF(B347="","",IF(C347="",NOW(),C347))</f>
      </c>
    </row>
    <row r="348">
      <c r="A348" s="4">
        <f>IF(B348="","",ROW()-1)</f>
      </c>
      <c r="B348" s="5"/>
      <c r="C348" s="2">
        <f>IF(B348="","",IF(C348="",NOW(),C348))</f>
      </c>
    </row>
    <row r="349">
      <c r="A349" s="4">
        <f>IF(B349="","",ROW()-1)</f>
      </c>
      <c r="B349" s="5"/>
      <c r="C349" s="2">
        <f>IF(B349="","",IF(C349="",NOW(),C349))</f>
      </c>
    </row>
    <row r="350">
      <c r="A350" s="4">
        <f>IF(B350="","",ROW()-1)</f>
      </c>
      <c r="B350" s="5"/>
      <c r="C350" s="2">
        <f>IF(B350="","",IF(C350="",NOW(),C350))</f>
      </c>
    </row>
    <row r="351">
      <c r="A351" s="4">
        <f>IF(B351="","",ROW()-1)</f>
      </c>
      <c r="B351" s="5"/>
      <c r="C351" s="2">
        <f>IF(B351="","",IF(C351="",NOW(),C351))</f>
      </c>
    </row>
    <row r="352">
      <c r="A352" s="4">
        <f>IF(B352="","",ROW()-1)</f>
      </c>
      <c r="B352" s="5"/>
      <c r="C352" s="2">
        <f>IF(B352="","",IF(C352="",NOW(),C352))</f>
      </c>
    </row>
    <row r="353">
      <c r="A353" s="4">
        <f>IF(B353="","",ROW()-1)</f>
      </c>
      <c r="B353" s="5"/>
      <c r="C353" s="2">
        <f>IF(B353="","",IF(C353="",NOW(),C353))</f>
      </c>
    </row>
    <row r="354">
      <c r="A354" s="4">
        <f>IF(B354="","",ROW()-1)</f>
      </c>
      <c r="B354" s="5"/>
      <c r="C354" s="2">
        <f>IF(B354="","",IF(C354="",NOW(),C354))</f>
      </c>
    </row>
    <row r="355">
      <c r="A355" s="4">
        <f>IF(B355="","",ROW()-1)</f>
      </c>
      <c r="B355" s="5"/>
      <c r="C355" s="2">
        <f>IF(B355="","",IF(C355="",NOW(),C355))</f>
      </c>
    </row>
    <row r="356">
      <c r="A356" s="4">
        <f>IF(B356="","",ROW()-1)</f>
      </c>
      <c r="B356" s="5"/>
      <c r="C356" s="2">
        <f>IF(B356="","",IF(C356="",NOW(),C356))</f>
      </c>
    </row>
    <row r="357">
      <c r="A357" s="4">
        <f>IF(B357="","",ROW()-1)</f>
      </c>
      <c r="B357" s="5"/>
      <c r="C357" s="2">
        <f>IF(B357="","",IF(C357="",NOW(),C357))</f>
      </c>
    </row>
    <row r="358">
      <c r="A358" s="4">
        <f>IF(B358="","",ROW()-1)</f>
      </c>
      <c r="B358" s="5"/>
      <c r="C358" s="2">
        <f>IF(B358="","",IF(C358="",NOW(),C358))</f>
      </c>
    </row>
    <row r="359">
      <c r="A359" s="4">
        <f>IF(B359="","",ROW()-1)</f>
      </c>
      <c r="B359" s="5"/>
      <c r="C359" s="2">
        <f>IF(B359="","",IF(C359="",NOW(),C359))</f>
      </c>
    </row>
    <row r="360">
      <c r="A360" s="4">
        <f>IF(B360="","",ROW()-1)</f>
      </c>
      <c r="B360" s="5"/>
      <c r="C360" s="2">
        <f>IF(B360="","",IF(C360="",NOW(),C360))</f>
      </c>
    </row>
    <row r="361">
      <c r="A361" s="4">
        <f>IF(B361="","",ROW()-1)</f>
      </c>
      <c r="B361" s="5"/>
      <c r="C361" s="2">
        <f>IF(B361="","",IF(C361="",NOW(),C361))</f>
      </c>
    </row>
    <row r="362">
      <c r="A362" s="4">
        <f>IF(B362="","",ROW()-1)</f>
      </c>
      <c r="B362" s="5"/>
      <c r="C362" s="2">
        <f>IF(B362="","",IF(C362="",NOW(),C362))</f>
      </c>
    </row>
    <row r="363">
      <c r="A363" s="4">
        <f>IF(B363="","",ROW()-1)</f>
      </c>
      <c r="B363" s="5"/>
      <c r="C363" s="2">
        <f>IF(B363="","",IF(C363="",NOW(),C363))</f>
      </c>
    </row>
    <row r="364">
      <c r="A364" s="4">
        <f>IF(B364="","",ROW()-1)</f>
      </c>
      <c r="B364" s="5"/>
      <c r="C364" s="2">
        <f>IF(B364="","",IF(C364="",NOW(),C364))</f>
      </c>
    </row>
    <row r="365">
      <c r="A365" s="4">
        <f>IF(B365="","",ROW()-1)</f>
      </c>
      <c r="B365" s="5"/>
      <c r="C365" s="2">
        <f>IF(B365="","",IF(C365="",NOW(),C365))</f>
      </c>
    </row>
    <row r="366">
      <c r="A366" s="4">
        <f>IF(B366="","",ROW()-1)</f>
      </c>
      <c r="B366" s="5"/>
      <c r="C366" s="2">
        <f>IF(B366="","",IF(C366="",NOW(),C366))</f>
      </c>
    </row>
    <row r="367">
      <c r="A367" s="4">
        <f>IF(B367="","",ROW()-1)</f>
      </c>
      <c r="B367" s="5"/>
      <c r="C367" s="2">
        <f>IF(B367="","",IF(C367="",NOW(),C367))</f>
      </c>
    </row>
    <row r="368">
      <c r="A368" s="4">
        <f>IF(B368="","",ROW()-1)</f>
      </c>
      <c r="B368" s="5"/>
      <c r="C368" s="2">
        <f>IF(B368="","",IF(C368="",NOW(),C368))</f>
      </c>
    </row>
    <row r="369">
      <c r="A369" s="4">
        <f>IF(B369="","",ROW()-1)</f>
      </c>
      <c r="B369" s="5"/>
      <c r="C369" s="2">
        <f>IF(B369="","",IF(C369="",NOW(),C369))</f>
      </c>
    </row>
    <row r="370">
      <c r="A370" s="4">
        <f>IF(B370="","",ROW()-1)</f>
      </c>
      <c r="B370" s="5"/>
      <c r="C370" s="2">
        <f>IF(B370="","",IF(C370="",NOW(),C370))</f>
      </c>
    </row>
    <row r="371">
      <c r="A371" s="4">
        <f>IF(B371="","",ROW()-1)</f>
      </c>
      <c r="B371" s="5"/>
      <c r="C371" s="2">
        <f>IF(B371="","",IF(C371="",NOW(),C371))</f>
      </c>
    </row>
    <row r="372">
      <c r="A372" s="4">
        <f>IF(B372="","",ROW()-1)</f>
      </c>
      <c r="B372" s="5"/>
      <c r="C372" s="2">
        <f>IF(B372="","",IF(C372="",NOW(),C372))</f>
      </c>
    </row>
    <row r="373">
      <c r="A373" s="4">
        <f>IF(B373="","",ROW()-1)</f>
      </c>
      <c r="B373" s="5"/>
      <c r="C373" s="2">
        <f>IF(B373="","",IF(C373="",NOW(),C373))</f>
      </c>
    </row>
    <row r="374">
      <c r="A374" s="4">
        <f>IF(B374="","",ROW()-1)</f>
      </c>
      <c r="B374" s="5"/>
      <c r="C374" s="2">
        <f>IF(B374="","",IF(C374="",NOW(),C374))</f>
      </c>
    </row>
    <row r="375">
      <c r="A375" s="4">
        <f>IF(B375="","",ROW()-1)</f>
      </c>
      <c r="B375" s="5"/>
      <c r="C375" s="2">
        <f>IF(B375="","",IF(C375="",NOW(),C375))</f>
      </c>
    </row>
    <row r="376">
      <c r="A376" s="4">
        <f>IF(B376="","",ROW()-1)</f>
      </c>
      <c r="B376" s="5"/>
      <c r="C376" s="2">
        <f>IF(B376="","",IF(C376="",NOW(),C376))</f>
      </c>
    </row>
    <row r="377">
      <c r="A377" s="4">
        <f>IF(B377="","",ROW()-1)</f>
      </c>
      <c r="B377" s="5"/>
      <c r="C377" s="2">
        <f>IF(B377="","",IF(C377="",NOW(),C377))</f>
      </c>
    </row>
    <row r="378">
      <c r="A378" s="4">
        <f>IF(B378="","",ROW()-1)</f>
      </c>
      <c r="B378" s="5"/>
      <c r="C378" s="2">
        <f>IF(B378="","",IF(C378="",NOW(),C378))</f>
      </c>
    </row>
    <row r="379">
      <c r="A379" s="4">
        <f>IF(B379="","",ROW()-1)</f>
      </c>
      <c r="B379" s="5"/>
      <c r="C379" s="2">
        <f>IF(B379="","",IF(C379="",NOW(),C379))</f>
      </c>
    </row>
    <row r="380">
      <c r="A380" s="4">
        <f>IF(B380="","",ROW()-1)</f>
      </c>
      <c r="B380" s="5"/>
      <c r="C380" s="2">
        <f>IF(B380="","",IF(C380="",NOW(),C380))</f>
      </c>
    </row>
    <row r="381">
      <c r="A381" s="4">
        <f>IF(B381="","",ROW()-1)</f>
      </c>
      <c r="B381" s="5"/>
      <c r="C381" s="2">
        <f>IF(B381="","",IF(C381="",NOW(),C381))</f>
      </c>
    </row>
    <row r="382">
      <c r="A382" s="4">
        <f>IF(B382="","",ROW()-1)</f>
      </c>
      <c r="B382" s="5"/>
      <c r="C382" s="2">
        <f>IF(B382="","",IF(C382="",NOW(),C382))</f>
      </c>
    </row>
    <row r="383">
      <c r="A383" s="4">
        <f>IF(B383="","",ROW()-1)</f>
      </c>
      <c r="B383" s="5"/>
      <c r="C383" s="2">
        <f>IF(B383="","",IF(C383="",NOW(),C383))</f>
      </c>
    </row>
    <row r="384">
      <c r="A384" s="4">
        <f>IF(B384="","",ROW()-1)</f>
      </c>
      <c r="B384" s="5"/>
      <c r="C384" s="2">
        <f>IF(B384="","",IF(C384="",NOW(),C384))</f>
      </c>
    </row>
    <row r="385">
      <c r="A385" s="4">
        <f>IF(B385="","",ROW()-1)</f>
      </c>
      <c r="B385" s="5"/>
      <c r="C385" s="2">
        <f>IF(B385="","",IF(C385="",NOW(),C385))</f>
      </c>
    </row>
    <row r="386">
      <c r="A386" s="4">
        <f>IF(B386="","",ROW()-1)</f>
      </c>
      <c r="B386" s="5"/>
      <c r="C386" s="2">
        <f>IF(B386="","",IF(C386="",NOW(),C386))</f>
      </c>
    </row>
    <row r="387">
      <c r="A387" s="4">
        <f>IF(B387="","",ROW()-1)</f>
      </c>
      <c r="B387" s="5"/>
      <c r="C387" s="2">
        <f>IF(B387="","",IF(C387="",NOW(),C387))</f>
      </c>
    </row>
    <row r="388">
      <c r="A388" s="4">
        <f>IF(B388="","",ROW()-1)</f>
      </c>
      <c r="B388" s="5"/>
      <c r="C388" s="2">
        <f>IF(B388="","",IF(C388="",NOW(),C388))</f>
      </c>
    </row>
    <row r="389">
      <c r="A389" s="4">
        <f>IF(B389="","",ROW()-1)</f>
      </c>
      <c r="B389" s="5"/>
      <c r="C389" s="2">
        <f>IF(B389="","",IF(C389="",NOW(),C389))</f>
      </c>
    </row>
    <row r="390">
      <c r="A390" s="4">
        <f>IF(B390="","",ROW()-1)</f>
      </c>
      <c r="B390" s="5"/>
      <c r="C390" s="2">
        <f>IF(B390="","",IF(C390="",NOW(),C390))</f>
      </c>
    </row>
    <row r="391">
      <c r="A391" s="4">
        <f>IF(B391="","",ROW()-1)</f>
      </c>
      <c r="B391" s="5"/>
      <c r="C391" s="2">
        <f>IF(B391="","",IF(C391="",NOW(),C391))</f>
      </c>
    </row>
    <row r="392">
      <c r="A392" s="4">
        <f>IF(B392="","",ROW()-1)</f>
      </c>
      <c r="B392" s="5"/>
      <c r="C392" s="2">
        <f>IF(B392="","",IF(C392="",NOW(),C392))</f>
      </c>
    </row>
    <row r="393">
      <c r="A393" s="4">
        <f>IF(B393="","",ROW()-1)</f>
      </c>
      <c r="B393" s="5"/>
      <c r="C393" s="2">
        <f>IF(B393="","",IF(C393="",NOW(),C393))</f>
      </c>
    </row>
    <row r="394">
      <c r="A394" s="4">
        <f>IF(B394="","",ROW()-1)</f>
      </c>
      <c r="B394" s="5"/>
      <c r="C394" s="2">
        <f>IF(B394="","",IF(C394="",NOW(),C394))</f>
      </c>
    </row>
    <row r="395">
      <c r="A395" s="4">
        <f>IF(B395="","",ROW()-1)</f>
      </c>
      <c r="B395" s="5"/>
      <c r="C395" s="2">
        <f>IF(B395="","",IF(C395="",NOW(),C395))</f>
      </c>
    </row>
    <row r="396">
      <c r="A396" s="4">
        <f>IF(B396="","",ROW()-1)</f>
      </c>
      <c r="B396" s="5"/>
      <c r="C396" s="2">
        <f>IF(B396="","",IF(C396="",NOW(),C396))</f>
      </c>
    </row>
    <row r="397">
      <c r="A397" s="4">
        <f>IF(B397="","",ROW()-1)</f>
      </c>
      <c r="B397" s="5"/>
      <c r="C397" s="2">
        <f>IF(B397="","",IF(C397="",NOW(),C397))</f>
      </c>
    </row>
    <row r="398">
      <c r="A398" s="4">
        <f>IF(B398="","",ROW()-1)</f>
      </c>
      <c r="B398" s="5"/>
      <c r="C398" s="2">
        <f>IF(B398="","",IF(C398="",NOW(),C398))</f>
      </c>
    </row>
    <row r="399">
      <c r="A399" s="4">
        <f>IF(B399="","",ROW()-1)</f>
      </c>
      <c r="B399" s="5"/>
      <c r="C399" s="2">
        <f>IF(B399="","",IF(C399="",NOW(),C399))</f>
      </c>
    </row>
    <row r="400">
      <c r="A400" s="4">
        <f>IF(B400="","",ROW()-1)</f>
      </c>
      <c r="B400" s="5"/>
      <c r="C400" s="2">
        <f>IF(B400="","",IF(C400="",NOW(),C400))</f>
      </c>
    </row>
    <row r="401">
      <c r="A401" s="4">
        <f>IF(B401="","",ROW()-1)</f>
      </c>
      <c r="B401" s="5"/>
      <c r="C401" s="2">
        <f>IF(B401="","",IF(C401="",NOW(),C401))</f>
      </c>
    </row>
    <row r="402">
      <c r="A402" s="4">
        <f>IF(B402="","",ROW()-1)</f>
      </c>
      <c r="B402" s="5"/>
      <c r="C402" s="2">
        <f>IF(B402="","",IF(C402="",NOW(),C402))</f>
      </c>
    </row>
    <row r="403">
      <c r="A403" s="4">
        <f>IF(B403="","",ROW()-1)</f>
      </c>
      <c r="B403" s="5"/>
      <c r="C403" s="2">
        <f>IF(B403="","",IF(C403="",NOW(),C403))</f>
      </c>
    </row>
    <row r="404">
      <c r="A404" s="4">
        <f>IF(B404="","",ROW()-1)</f>
      </c>
      <c r="B404" s="5"/>
      <c r="C404" s="2">
        <f>IF(B404="","",IF(C404="",NOW(),C404))</f>
      </c>
    </row>
    <row r="405">
      <c r="A405" s="4">
        <f>IF(B405="","",ROW()-1)</f>
      </c>
      <c r="B405" s="5"/>
      <c r="C405" s="2">
        <f>IF(B405="","",IF(C405="",NOW(),C405))</f>
      </c>
    </row>
    <row r="406">
      <c r="A406" s="4">
        <f>IF(B406="","",ROW()-1)</f>
      </c>
      <c r="B406" s="5"/>
      <c r="C406" s="2">
        <f>IF(B406="","",IF(C406="",NOW(),C406))</f>
      </c>
    </row>
    <row r="407">
      <c r="A407" s="4">
        <f>IF(B407="","",ROW()-1)</f>
      </c>
      <c r="B407" s="5"/>
      <c r="C407" s="2">
        <f>IF(B407="","",IF(C407="",NOW(),C407))</f>
      </c>
    </row>
    <row r="408">
      <c r="A408" s="4">
        <f>IF(B408="","",ROW()-1)</f>
      </c>
      <c r="B408" s="5"/>
      <c r="C408" s="2">
        <f>IF(B408="","",IF(C408="",NOW(),C408))</f>
      </c>
    </row>
    <row r="409">
      <c r="A409" s="4">
        <f>IF(B409="","",ROW()-1)</f>
      </c>
      <c r="B409" s="5"/>
      <c r="C409" s="2">
        <f>IF(B409="","",IF(C409="",NOW(),C409))</f>
      </c>
    </row>
    <row r="410">
      <c r="A410" s="4">
        <f>IF(B410="","",ROW()-1)</f>
      </c>
      <c r="B410" s="5"/>
      <c r="C410" s="2">
        <f>IF(B410="","",IF(C410="",NOW(),C410))</f>
      </c>
    </row>
    <row r="411">
      <c r="A411" s="4">
        <f>IF(B411="","",ROW()-1)</f>
      </c>
      <c r="B411" s="5"/>
      <c r="C411" s="2">
        <f>IF(B411="","",IF(C411="",NOW(),C411))</f>
      </c>
    </row>
    <row r="412">
      <c r="A412" s="4">
        <f>IF(B412="","",ROW()-1)</f>
      </c>
      <c r="B412" s="5"/>
      <c r="C412" s="2">
        <f>IF(B412="","",IF(C412="",NOW(),C412))</f>
      </c>
    </row>
    <row r="413">
      <c r="A413" s="4">
        <f>IF(B413="","",ROW()-1)</f>
      </c>
      <c r="B413" s="5"/>
      <c r="C413" s="2">
        <f>IF(B413="","",IF(C413="",NOW(),C413))</f>
      </c>
    </row>
    <row r="414">
      <c r="A414" s="4">
        <f>IF(B414="","",ROW()-1)</f>
      </c>
      <c r="B414" s="5"/>
      <c r="C414" s="2">
        <f>IF(B414="","",IF(C414="",NOW(),C414))</f>
      </c>
    </row>
    <row r="415">
      <c r="A415" s="4">
        <f>IF(B415="","",ROW()-1)</f>
      </c>
      <c r="B415" s="5"/>
      <c r="C415" s="2">
        <f>IF(B415="","",IF(C415="",NOW(),C415))</f>
      </c>
    </row>
    <row r="416">
      <c r="A416" s="4">
        <f>IF(B416="","",ROW()-1)</f>
      </c>
      <c r="B416" s="5"/>
      <c r="C416" s="2">
        <f>IF(B416="","",IF(C416="",NOW(),C416))</f>
      </c>
    </row>
    <row r="417">
      <c r="A417" s="4">
        <f>IF(B417="","",ROW()-1)</f>
      </c>
      <c r="B417" s="5"/>
      <c r="C417" s="2">
        <f>IF(B417="","",IF(C417="",NOW(),C417))</f>
      </c>
    </row>
    <row r="418">
      <c r="A418" s="4">
        <f>IF(B418="","",ROW()-1)</f>
      </c>
      <c r="B418" s="5"/>
      <c r="C418" s="2">
        <f>IF(B418="","",IF(C418="",NOW(),C418))</f>
      </c>
    </row>
    <row r="419">
      <c r="A419" s="4">
        <f>IF(B419="","",ROW()-1)</f>
      </c>
      <c r="B419" s="5"/>
      <c r="C419" s="2">
        <f>IF(B419="","",IF(C419="",NOW(),C419))</f>
      </c>
    </row>
    <row r="420">
      <c r="A420" s="4">
        <f>IF(B420="","",ROW()-1)</f>
      </c>
      <c r="B420" s="5"/>
      <c r="C420" s="2">
        <f>IF(B420="","",IF(C420="",NOW(),C420))</f>
      </c>
    </row>
    <row r="421">
      <c r="A421" s="4">
        <f>IF(B421="","",ROW()-1)</f>
      </c>
      <c r="B421" s="5"/>
      <c r="C421" s="2">
        <f>IF(B421="","",IF(C421="",NOW(),C421))</f>
      </c>
    </row>
    <row r="422">
      <c r="A422" s="4">
        <f>IF(B422="","",ROW()-1)</f>
      </c>
      <c r="B422" s="5"/>
      <c r="C422" s="2">
        <f>IF(B422="","",IF(C422="",NOW(),C422))</f>
      </c>
    </row>
    <row r="423">
      <c r="A423" s="4">
        <f>IF(B423="","",ROW()-1)</f>
      </c>
      <c r="B423" s="5"/>
      <c r="C423" s="2">
        <f>IF(B423="","",IF(C423="",NOW(),C423))</f>
      </c>
    </row>
    <row r="424">
      <c r="A424" s="4">
        <f>IF(B424="","",ROW()-1)</f>
      </c>
      <c r="B424" s="5"/>
      <c r="C424" s="2">
        <f>IF(B424="","",IF(C424="",NOW(),C424))</f>
      </c>
    </row>
    <row r="425">
      <c r="A425" s="4">
        <f>IF(B425="","",ROW()-1)</f>
      </c>
      <c r="B425" s="5"/>
      <c r="C425" s="2">
        <f>IF(B425="","",IF(C425="",NOW(),C425))</f>
      </c>
    </row>
    <row r="426">
      <c r="A426" s="4">
        <f>IF(B426="","",ROW()-1)</f>
      </c>
      <c r="B426" s="5"/>
      <c r="C426" s="2">
        <f>IF(B426="","",IF(C426="",NOW(),C426))</f>
      </c>
    </row>
    <row r="427">
      <c r="A427" s="4">
        <f>IF(B427="","",ROW()-1)</f>
      </c>
      <c r="B427" s="5"/>
      <c r="C427" s="2">
        <f>IF(B427="","",IF(C427="",NOW(),C427))</f>
      </c>
    </row>
    <row r="428">
      <c r="A428" s="4">
        <f>IF(B428="","",ROW()-1)</f>
      </c>
      <c r="B428" s="5"/>
      <c r="C428" s="2">
        <f>IF(B428="","",IF(C428="",NOW(),C428))</f>
      </c>
    </row>
    <row r="429">
      <c r="A429" s="4">
        <f>IF(B429="","",ROW()-1)</f>
      </c>
      <c r="B429" s="5"/>
      <c r="C429" s="2">
        <f>IF(B429="","",IF(C429="",NOW(),C429))</f>
      </c>
    </row>
    <row r="430">
      <c r="A430" s="4">
        <f>IF(B430="","",ROW()-1)</f>
      </c>
      <c r="B430" s="5"/>
      <c r="C430" s="2">
        <f>IF(B430="","",IF(C430="",NOW(),C430))</f>
      </c>
    </row>
    <row r="431">
      <c r="A431" s="4">
        <f>IF(B431="","",ROW()-1)</f>
      </c>
      <c r="B431" s="5"/>
      <c r="C431" s="2">
        <f>IF(B431="","",IF(C431="",NOW(),C431))</f>
      </c>
    </row>
    <row r="432">
      <c r="A432" s="4">
        <f>IF(B432="","",ROW()-1)</f>
      </c>
      <c r="B432" s="5"/>
      <c r="C432" s="2">
        <f>IF(B432="","",IF(C432="",NOW(),C432))</f>
      </c>
    </row>
    <row r="433">
      <c r="A433" s="4">
        <f>IF(B433="","",ROW()-1)</f>
      </c>
      <c r="B433" s="5"/>
      <c r="C433" s="2">
        <f>IF(B433="","",IF(C433="",NOW(),C433))</f>
      </c>
    </row>
    <row r="434">
      <c r="A434" s="4">
        <f>IF(B434="","",ROW()-1)</f>
      </c>
      <c r="B434" s="5"/>
      <c r="C434" s="2">
        <f>IF(B434="","",IF(C434="",NOW(),C434))</f>
      </c>
    </row>
    <row r="435">
      <c r="A435" s="4">
        <f>IF(B435="","",ROW()-1)</f>
      </c>
      <c r="B435" s="5"/>
      <c r="C435" s="2">
        <f>IF(B435="","",IF(C435="",NOW(),C435))</f>
      </c>
    </row>
    <row r="436">
      <c r="A436" s="4">
        <f>IF(B436="","",ROW()-1)</f>
      </c>
      <c r="B436" s="5"/>
      <c r="C436" s="2">
        <f>IF(B436="","",IF(C436="",NOW(),C436))</f>
      </c>
    </row>
    <row r="437">
      <c r="A437" s="4">
        <f>IF(B437="","",ROW()-1)</f>
      </c>
      <c r="B437" s="5"/>
      <c r="C437" s="2">
        <f>IF(B437="","",IF(C437="",NOW(),C437))</f>
      </c>
    </row>
    <row r="438">
      <c r="A438" s="4">
        <f>IF(B438="","",ROW()-1)</f>
      </c>
      <c r="B438" s="5"/>
      <c r="C438" s="2">
        <f>IF(B438="","",IF(C438="",NOW(),C438))</f>
      </c>
    </row>
    <row r="439">
      <c r="A439" s="4">
        <f>IF(B439="","",ROW()-1)</f>
      </c>
      <c r="B439" s="5"/>
      <c r="C439" s="2">
        <f>IF(B439="","",IF(C439="",NOW(),C439))</f>
      </c>
    </row>
    <row r="440">
      <c r="A440" s="4">
        <f>IF(B440="","",ROW()-1)</f>
      </c>
      <c r="B440" s="5"/>
      <c r="C440" s="2">
        <f>IF(B440="","",IF(C440="",NOW(),C440))</f>
      </c>
    </row>
    <row r="441">
      <c r="A441" s="4">
        <f>IF(B441="","",ROW()-1)</f>
      </c>
      <c r="B441" s="5"/>
      <c r="C441" s="2">
        <f>IF(B441="","",IF(C441="",NOW(),C441))</f>
      </c>
    </row>
    <row r="442">
      <c r="A442" s="4">
        <f>IF(B442="","",ROW()-1)</f>
      </c>
      <c r="B442" s="5"/>
      <c r="C442" s="2">
        <f>IF(B442="","",IF(C442="",NOW(),C442))</f>
      </c>
    </row>
    <row r="443">
      <c r="A443" s="4">
        <f>IF(B443="","",ROW()-1)</f>
      </c>
      <c r="B443" s="5"/>
      <c r="C443" s="2">
        <f>IF(B443="","",IF(C443="",NOW(),C443))</f>
      </c>
    </row>
    <row r="444">
      <c r="A444" s="4">
        <f>IF(B444="","",ROW()-1)</f>
      </c>
      <c r="B444" s="5"/>
      <c r="C444" s="2">
        <f>IF(B444="","",IF(C444="",NOW(),C444))</f>
      </c>
    </row>
    <row r="445">
      <c r="A445" s="4">
        <f>IF(B445="","",ROW()-1)</f>
      </c>
      <c r="B445" s="5"/>
      <c r="C445" s="2">
        <f>IF(B445="","",IF(C445="",NOW(),C445))</f>
      </c>
    </row>
    <row r="446">
      <c r="A446" s="4">
        <f>IF(B446="","",ROW()-1)</f>
      </c>
      <c r="B446" s="5"/>
      <c r="C446" s="2">
        <f>IF(B446="","",IF(C446="",NOW(),C446))</f>
      </c>
    </row>
    <row r="447">
      <c r="A447" s="4">
        <f>IF(B447="","",ROW()-1)</f>
      </c>
      <c r="B447" s="5"/>
      <c r="C447" s="2">
        <f>IF(B447="","",IF(C447="",NOW(),C447))</f>
      </c>
    </row>
    <row r="448">
      <c r="A448" s="4">
        <f>IF(B448="","",ROW()-1)</f>
      </c>
      <c r="B448" s="5"/>
      <c r="C448" s="2">
        <f>IF(B448="","",IF(C448="",NOW(),C448))</f>
      </c>
    </row>
    <row r="449">
      <c r="A449" s="4">
        <f>IF(B449="","",ROW()-1)</f>
      </c>
      <c r="B449" s="5"/>
      <c r="C449" s="2">
        <f>IF(B449="","",IF(C449="",NOW(),C449))</f>
      </c>
    </row>
    <row r="450">
      <c r="A450" s="4">
        <f>IF(B450="","",ROW()-1)</f>
      </c>
      <c r="B450" s="5"/>
      <c r="C450" s="2">
        <f>IF(B450="","",IF(C450="",NOW(),C450))</f>
      </c>
    </row>
    <row r="451">
      <c r="A451" s="4">
        <f>IF(B451="","",ROW()-1)</f>
      </c>
      <c r="B451" s="5"/>
      <c r="C451" s="2">
        <f>IF(B451="","",IF(C451="",NOW(),C451))</f>
      </c>
    </row>
    <row r="452">
      <c r="A452" s="4">
        <f>IF(B452="","",ROW()-1)</f>
      </c>
      <c r="B452" s="5"/>
      <c r="C452" s="2">
        <f>IF(B452="","",IF(C452="",NOW(),C452))</f>
      </c>
    </row>
    <row r="453">
      <c r="A453" s="4">
        <f>IF(B453="","",ROW()-1)</f>
      </c>
      <c r="B453" s="5"/>
      <c r="C453" s="2">
        <f>IF(B453="","",IF(C453="",NOW(),C453))</f>
      </c>
    </row>
    <row r="454">
      <c r="A454" s="4">
        <f>IF(B454="","",ROW()-1)</f>
      </c>
      <c r="B454" s="5"/>
      <c r="C454" s="2">
        <f>IF(B454="","",IF(C454="",NOW(),C454))</f>
      </c>
    </row>
    <row r="455">
      <c r="A455" s="4">
        <f>IF(B455="","",ROW()-1)</f>
      </c>
      <c r="B455" s="5"/>
      <c r="C455" s="2">
        <f>IF(B455="","",IF(C455="",NOW(),C455))</f>
      </c>
    </row>
    <row r="456">
      <c r="A456" s="4">
        <f>IF(B456="","",ROW()-1)</f>
      </c>
      <c r="B456" s="5"/>
      <c r="C456" s="2">
        <f>IF(B456="","",IF(C456="",NOW(),C456))</f>
      </c>
    </row>
    <row r="457">
      <c r="A457" s="4">
        <f>IF(B457="","",ROW()-1)</f>
      </c>
      <c r="B457" s="5"/>
      <c r="C457" s="2">
        <f>IF(B457="","",IF(C457="",NOW(),C457))</f>
      </c>
    </row>
    <row r="458">
      <c r="A458" s="4">
        <f>IF(B458="","",ROW()-1)</f>
      </c>
      <c r="B458" s="5"/>
      <c r="C458" s="2">
        <f>IF(B458="","",IF(C458="",NOW(),C458))</f>
      </c>
    </row>
    <row r="459">
      <c r="A459" s="4">
        <f>IF(B459="","",ROW()-1)</f>
      </c>
      <c r="B459" s="5"/>
      <c r="C459" s="2">
        <f>IF(B459="","",IF(C459="",NOW(),C459))</f>
      </c>
    </row>
    <row r="460">
      <c r="A460" s="4">
        <f>IF(B460="","",ROW()-1)</f>
      </c>
      <c r="B460" s="5"/>
      <c r="C460" s="2">
        <f>IF(B460="","",IF(C460="",NOW(),C460))</f>
      </c>
    </row>
    <row r="461">
      <c r="A461" s="4">
        <f>IF(B461="","",ROW()-1)</f>
      </c>
      <c r="B461" s="5"/>
      <c r="C461" s="2">
        <f>IF(B461="","",IF(C461="",NOW(),C461))</f>
      </c>
    </row>
    <row r="462">
      <c r="A462" s="4">
        <f>IF(B462="","",ROW()-1)</f>
      </c>
      <c r="B462" s="5"/>
      <c r="C462" s="2">
        <f>IF(B462="","",IF(C462="",NOW(),C462))</f>
      </c>
    </row>
    <row r="463">
      <c r="A463" s="4">
        <f>IF(B463="","",ROW()-1)</f>
      </c>
      <c r="B463" s="5"/>
      <c r="C463" s="2">
        <f>IF(B463="","",IF(C463="",NOW(),C463))</f>
      </c>
    </row>
    <row r="464">
      <c r="A464" s="4">
        <f>IF(B464="","",ROW()-1)</f>
      </c>
      <c r="B464" s="5"/>
      <c r="C464" s="2">
        <f>IF(B464="","",IF(C464="",NOW(),C464))</f>
      </c>
    </row>
    <row r="465">
      <c r="A465" s="4">
        <f>IF(B465="","",ROW()-1)</f>
      </c>
      <c r="B465" s="5"/>
      <c r="C465" s="2">
        <f>IF(B465="","",IF(C465="",NOW(),C465))</f>
      </c>
    </row>
    <row r="466">
      <c r="A466" s="4">
        <f>IF(B466="","",ROW()-1)</f>
      </c>
      <c r="B466" s="5"/>
      <c r="C466" s="2">
        <f>IF(B466="","",IF(C466="",NOW(),C466))</f>
      </c>
    </row>
    <row r="467">
      <c r="A467" s="4">
        <f>IF(B467="","",ROW()-1)</f>
      </c>
      <c r="B467" s="5"/>
      <c r="C467" s="2">
        <f>IF(B467="","",IF(C467="",NOW(),C467))</f>
      </c>
    </row>
    <row r="468">
      <c r="A468" s="4">
        <f>IF(B468="","",ROW()-1)</f>
      </c>
      <c r="B468" s="5"/>
      <c r="C468" s="2">
        <f>IF(B468="","",IF(C468="",NOW(),C468))</f>
      </c>
    </row>
    <row r="469">
      <c r="A469" s="4">
        <f>IF(B469="","",ROW()-1)</f>
      </c>
      <c r="B469" s="5"/>
      <c r="C469" s="2">
        <f>IF(B469="","",IF(C469="",NOW(),C469))</f>
      </c>
    </row>
    <row r="470">
      <c r="A470" s="4">
        <f>IF(B470="","",ROW()-1)</f>
      </c>
      <c r="B470" s="5"/>
      <c r="C470" s="2">
        <f>IF(B470="","",IF(C470="",NOW(),C470))</f>
      </c>
    </row>
    <row r="471">
      <c r="A471" s="4">
        <f>IF(B471="","",ROW()-1)</f>
      </c>
      <c r="B471" s="5"/>
      <c r="C471" s="2">
        <f>IF(B471="","",IF(C471="",NOW(),C471))</f>
      </c>
    </row>
    <row r="472">
      <c r="A472" s="4">
        <f>IF(B472="","",ROW()-1)</f>
      </c>
      <c r="B472" s="5"/>
      <c r="C472" s="2">
        <f>IF(B472="","",IF(C472="",NOW(),C472))</f>
      </c>
    </row>
    <row r="473">
      <c r="A473" s="4">
        <f>IF(B473="","",ROW()-1)</f>
      </c>
      <c r="B473" s="5"/>
      <c r="C473" s="2">
        <f>IF(B473="","",IF(C473="",NOW(),C473))</f>
      </c>
    </row>
    <row r="474">
      <c r="A474" s="4">
        <f>IF(B474="","",ROW()-1)</f>
      </c>
      <c r="B474" s="5"/>
      <c r="C474" s="2">
        <f>IF(B474="","",IF(C474="",NOW(),C474))</f>
      </c>
    </row>
    <row r="475">
      <c r="A475" s="4">
        <f>IF(B475="","",ROW()-1)</f>
      </c>
      <c r="B475" s="5"/>
      <c r="C475" s="2">
        <f>IF(B475="","",IF(C475="",NOW(),C475))</f>
      </c>
    </row>
    <row r="476">
      <c r="A476" s="4">
        <f>IF(B476="","",ROW()-1)</f>
      </c>
      <c r="B476" s="5"/>
      <c r="C476" s="2">
        <f>IF(B476="","",IF(C476="",NOW(),C476))</f>
      </c>
    </row>
    <row r="477">
      <c r="A477" s="4">
        <f>IF(B477="","",ROW()-1)</f>
      </c>
      <c r="B477" s="5"/>
      <c r="C477" s="2">
        <f>IF(B477="","",IF(C477="",NOW(),C477))</f>
      </c>
    </row>
    <row r="478">
      <c r="A478" s="4">
        <f>IF(B478="","",ROW()-1)</f>
      </c>
      <c r="B478" s="5"/>
      <c r="C478" s="2">
        <f>IF(B478="","",IF(C478="",NOW(),C478))</f>
      </c>
    </row>
    <row r="479">
      <c r="A479" s="4">
        <f>IF(B479="","",ROW()-1)</f>
      </c>
      <c r="B479" s="5"/>
      <c r="C479" s="2">
        <f>IF(B479="","",IF(C479="",NOW(),C479))</f>
      </c>
    </row>
    <row r="480">
      <c r="A480" s="4">
        <f>IF(B480="","",ROW()-1)</f>
      </c>
      <c r="B480" s="5"/>
      <c r="C480" s="2">
        <f>IF(B480="","",IF(C480="",NOW(),C480))</f>
      </c>
    </row>
    <row r="481">
      <c r="A481" s="4">
        <f>IF(B481="","",ROW()-1)</f>
      </c>
      <c r="B481" s="5"/>
      <c r="C481" s="2">
        <f>IF(B481="","",IF(C481="",NOW(),C481))</f>
      </c>
    </row>
    <row r="482">
      <c r="A482" s="4">
        <f>IF(B482="","",ROW()-1)</f>
      </c>
      <c r="B482" s="5"/>
      <c r="C482" s="2">
        <f>IF(B482="","",IF(C482="",NOW(),C482))</f>
      </c>
    </row>
    <row r="483">
      <c r="A483" s="4">
        <f>IF(B483="","",ROW()-1)</f>
      </c>
      <c r="B483" s="5"/>
      <c r="C483" s="2">
        <f>IF(B483="","",IF(C483="",NOW(),C483))</f>
      </c>
    </row>
    <row r="484">
      <c r="A484" s="4">
        <f>IF(B484="","",ROW()-1)</f>
      </c>
      <c r="B484" s="5"/>
      <c r="C484" s="2">
        <f>IF(B484="","",IF(C484="",NOW(),C484))</f>
      </c>
    </row>
    <row r="485">
      <c r="A485" s="4">
        <f>IF(B485="","",ROW()-1)</f>
      </c>
      <c r="B485" s="5"/>
      <c r="C485" s="2">
        <f>IF(B485="","",IF(C485="",NOW(),C485))</f>
      </c>
    </row>
    <row r="486">
      <c r="A486" s="4">
        <f>IF(B486="","",ROW()-1)</f>
      </c>
      <c r="B486" s="5"/>
      <c r="C486" s="2">
        <f>IF(B486="","",IF(C486="",NOW(),C486))</f>
      </c>
    </row>
    <row r="487">
      <c r="A487" s="4">
        <f>IF(B487="","",ROW()-1)</f>
      </c>
      <c r="B487" s="5"/>
      <c r="C487" s="2">
        <f>IF(B487="","",IF(C487="",NOW(),C487))</f>
      </c>
    </row>
    <row r="488">
      <c r="A488" s="4">
        <f>IF(B488="","",ROW()-1)</f>
      </c>
      <c r="B488" s="5"/>
      <c r="C488" s="2">
        <f>IF(B488="","",IF(C488="",NOW(),C488))</f>
      </c>
    </row>
    <row r="489">
      <c r="A489" s="4">
        <f>IF(B489="","",ROW()-1)</f>
      </c>
      <c r="B489" s="5"/>
      <c r="C489" s="2">
        <f>IF(B489="","",IF(C489="",NOW(),C489))</f>
      </c>
    </row>
    <row r="490">
      <c r="A490" s="4">
        <f>IF(B490="","",ROW()-1)</f>
      </c>
      <c r="B490" s="5"/>
      <c r="C490" s="2">
        <f>IF(B490="","",IF(C490="",NOW(),C490))</f>
      </c>
    </row>
    <row r="491">
      <c r="A491" s="4">
        <f>IF(B491="","",ROW()-1)</f>
      </c>
      <c r="B491" s="5"/>
      <c r="C491" s="2">
        <f>IF(B491="","",IF(C491="",NOW(),C491))</f>
      </c>
    </row>
    <row r="492">
      <c r="A492" s="4">
        <f>IF(B492="","",ROW()-1)</f>
      </c>
      <c r="B492" s="5"/>
      <c r="C492" s="2">
        <f>IF(B492="","",IF(C492="",NOW(),C492))</f>
      </c>
    </row>
    <row r="493">
      <c r="A493" s="4">
        <f>IF(B493="","",ROW()-1)</f>
      </c>
      <c r="B493" s="5"/>
      <c r="C493" s="2">
        <f>IF(B493="","",IF(C493="",NOW(),C493))</f>
      </c>
    </row>
    <row r="494">
      <c r="A494" s="4">
        <f>IF(B494="","",ROW()-1)</f>
      </c>
      <c r="B494" s="5"/>
      <c r="C494" s="2">
        <f>IF(B494="","",IF(C494="",NOW(),C494))</f>
      </c>
    </row>
    <row r="495">
      <c r="A495" s="4">
        <f>IF(B495="","",ROW()-1)</f>
      </c>
      <c r="B495" s="5"/>
      <c r="C495" s="2">
        <f>IF(B495="","",IF(C495="",NOW(),C495))</f>
      </c>
    </row>
    <row r="496">
      <c r="A496" s="4">
        <f>IF(B496="","",ROW()-1)</f>
      </c>
      <c r="B496" s="5"/>
      <c r="C496" s="2">
        <f>IF(B496="","",IF(C496="",NOW(),C496))</f>
      </c>
    </row>
    <row r="497">
      <c r="A497" s="4">
        <f>IF(B497="","",ROW()-1)</f>
      </c>
      <c r="B497" s="5"/>
      <c r="C497" s="2">
        <f>IF(B497="","",IF(C497="",NOW(),C497))</f>
      </c>
    </row>
    <row r="498">
      <c r="A498" s="4">
        <f>IF(B498="","",ROW()-1)</f>
      </c>
      <c r="B498" s="5"/>
      <c r="C498" s="2">
        <f>IF(B498="","",IF(C498="",NOW(),C498))</f>
      </c>
    </row>
    <row r="499">
      <c r="A499" s="4">
        <f>IF(B499="","",ROW()-1)</f>
      </c>
      <c r="B499" s="5"/>
      <c r="C499" s="2">
        <f>IF(B499="","",IF(C499="",NOW(),C499))</f>
      </c>
    </row>
    <row r="500">
      <c r="A500" s="4">
        <f>IF(B500="","",ROW()-1)</f>
      </c>
      <c r="B500" s="5"/>
      <c r="C500" s="2">
        <f>IF(B500="","",IF(C500="",NOW(),C500))</f>
      </c>
    </row>
    <row r="501">
      <c r="A501" s="4">
        <f>IF(B501="","",ROW()-1)</f>
      </c>
      <c r="B501" s="5"/>
      <c r="C501" s="2">
        <f>IF(B501="","",IF(C501="",NOW(),C501))</f>
      </c>
    </row>
    <row r="502">
      <c r="A502" s="4">
        <f>IF(B502="","",ROW()-1)</f>
      </c>
      <c r="B502" s="5"/>
      <c r="C502" s="2">
        <f>IF(B502="","",IF(C502="",NOW(),C502))</f>
      </c>
    </row>
    <row r="503">
      <c r="A503" s="4">
        <f>IF(B503="","",ROW()-1)</f>
      </c>
      <c r="B503" s="5"/>
      <c r="C503" s="2">
        <f>IF(B503="","",IF(C503="",NOW(),C503))</f>
      </c>
    </row>
    <row r="504">
      <c r="A504" s="4">
        <f>IF(B504="","",ROW()-1)</f>
      </c>
      <c r="B504" s="5"/>
      <c r="C504" s="2">
        <f>IF(B504="","",IF(C504="",NOW(),C504))</f>
      </c>
    </row>
    <row r="505">
      <c r="A505" s="4">
        <f>IF(B505="","",ROW()-1)</f>
      </c>
      <c r="B505" s="5"/>
      <c r="C505" s="2">
        <f>IF(B505="","",IF(C505="",NOW(),C505))</f>
      </c>
    </row>
    <row r="506">
      <c r="A506" s="4">
        <f>IF(B506="","",ROW()-1)</f>
      </c>
      <c r="B506" s="5"/>
      <c r="C506" s="2">
        <f>IF(B506="","",IF(C506="",NOW(),C506))</f>
      </c>
    </row>
    <row r="507">
      <c r="A507" s="4">
        <f>IF(B507="","",ROW()-1)</f>
      </c>
      <c r="B507" s="5"/>
      <c r="C507" s="2">
        <f>IF(B507="","",IF(C507="",NOW(),C507))</f>
      </c>
    </row>
    <row r="508">
      <c r="A508" s="4">
        <f>IF(B508="","",ROW()-1)</f>
      </c>
      <c r="B508" s="5"/>
      <c r="C508" s="2">
        <f>IF(B508="","",IF(C508="",NOW(),C508))</f>
      </c>
    </row>
    <row r="509">
      <c r="A509" s="4">
        <f>IF(B509="","",ROW()-1)</f>
      </c>
      <c r="B509" s="5"/>
      <c r="C509" s="2">
        <f>IF(B509="","",IF(C509="",NOW(),C509))</f>
      </c>
    </row>
    <row r="510">
      <c r="A510" s="4">
        <f>IF(B510="","",ROW()-1)</f>
      </c>
      <c r="B510" s="5"/>
      <c r="C510" s="2">
        <f>IF(B510="","",IF(C510="",NOW(),C510))</f>
      </c>
    </row>
    <row r="511">
      <c r="A511" s="4">
        <f>IF(B511="","",ROW()-1)</f>
      </c>
      <c r="B511" s="5"/>
      <c r="C511" s="2">
        <f>IF(B511="","",IF(C511="",NOW(),C511))</f>
      </c>
    </row>
    <row r="512">
      <c r="A512" s="4">
        <f>IF(B512="","",ROW()-1)</f>
      </c>
      <c r="B512" s="5"/>
      <c r="C512" s="2">
        <f>IF(B512="","",IF(C512="",NOW(),C512))</f>
      </c>
    </row>
    <row r="513">
      <c r="A513" s="4">
        <f>IF(B513="","",ROW()-1)</f>
      </c>
      <c r="B513" s="5"/>
      <c r="C513" s="2">
        <f>IF(B513="","",IF(C513="",NOW(),C513))</f>
      </c>
    </row>
    <row r="514">
      <c r="A514" s="4">
        <f>IF(B514="","",ROW()-1)</f>
      </c>
      <c r="B514" s="5"/>
      <c r="C514" s="2">
        <f>IF(B514="","",IF(C514="",NOW(),C514))</f>
      </c>
    </row>
    <row r="515">
      <c r="A515" s="4">
        <f>IF(B515="","",ROW()-1)</f>
      </c>
      <c r="B515" s="5"/>
      <c r="C515" s="2">
        <f>IF(B515="","",IF(C515="",NOW(),C515))</f>
      </c>
    </row>
    <row r="516">
      <c r="A516" s="4">
        <f>IF(B516="","",ROW()-1)</f>
      </c>
      <c r="B516" s="5"/>
      <c r="C516" s="2">
        <f>IF(B516="","",IF(C516="",NOW(),C516))</f>
      </c>
    </row>
    <row r="517">
      <c r="A517" s="4">
        <f>IF(B517="","",ROW()-1)</f>
      </c>
      <c r="B517" s="5"/>
      <c r="C517" s="2">
        <f>IF(B517="","",IF(C517="",NOW(),C517))</f>
      </c>
    </row>
    <row r="518">
      <c r="A518" s="4">
        <f>IF(B518="","",ROW()-1)</f>
      </c>
      <c r="B518" s="5"/>
      <c r="C518" s="2">
        <f>IF(B518="","",IF(C518="",NOW(),C518))</f>
      </c>
    </row>
    <row r="519">
      <c r="A519" s="4">
        <f>IF(B519="","",ROW()-1)</f>
      </c>
      <c r="B519" s="5"/>
      <c r="C519" s="2">
        <f>IF(B519="","",IF(C519="",NOW(),C519))</f>
      </c>
    </row>
    <row r="520">
      <c r="A520" s="4">
        <f>IF(B520="","",ROW()-1)</f>
      </c>
      <c r="B520" s="5"/>
      <c r="C520" s="2">
        <f>IF(B520="","",IF(C520="",NOW(),C520))</f>
      </c>
    </row>
    <row r="521">
      <c r="A521" s="4">
        <f>IF(B521="","",ROW()-1)</f>
      </c>
      <c r="B521" s="5"/>
      <c r="C521" s="2">
        <f>IF(B521="","",IF(C521="",NOW(),C521))</f>
      </c>
    </row>
    <row r="522">
      <c r="A522" s="4">
        <f>IF(B522="","",ROW()-1)</f>
      </c>
      <c r="B522" s="5"/>
      <c r="C522" s="2">
        <f>IF(B522="","",IF(C522="",NOW(),C522))</f>
      </c>
    </row>
    <row r="523">
      <c r="A523" s="4">
        <f>IF(B523="","",ROW()-1)</f>
      </c>
      <c r="B523" s="5"/>
      <c r="C523" s="2">
        <f>IF(B523="","",IF(C523="",NOW(),C523))</f>
      </c>
    </row>
    <row r="524">
      <c r="A524" s="4">
        <f>IF(B524="","",ROW()-1)</f>
      </c>
      <c r="B524" s="5"/>
      <c r="C524" s="2">
        <f>IF(B524="","",IF(C524="",NOW(),C524))</f>
      </c>
    </row>
    <row r="525">
      <c r="A525" s="4">
        <f>IF(B525="","",ROW()-1)</f>
      </c>
      <c r="B525" s="5"/>
      <c r="C525" s="2">
        <f>IF(B525="","",IF(C525="",NOW(),C525))</f>
      </c>
    </row>
    <row r="526">
      <c r="A526" s="4">
        <f>IF(B526="","",ROW()-1)</f>
      </c>
      <c r="B526" s="5"/>
      <c r="C526" s="2">
        <f>IF(B526="","",IF(C526="",NOW(),C526))</f>
      </c>
    </row>
    <row r="527">
      <c r="A527" s="4">
        <f>IF(B527="","",ROW()-1)</f>
      </c>
      <c r="B527" s="5"/>
      <c r="C527" s="2">
        <f>IF(B527="","",IF(C527="",NOW(),C527))</f>
      </c>
    </row>
    <row r="528">
      <c r="A528" s="4">
        <f>IF(B528="","",ROW()-1)</f>
      </c>
      <c r="B528" s="5"/>
      <c r="C528" s="2">
        <f>IF(B528="","",IF(C528="",NOW(),C528))</f>
      </c>
    </row>
    <row r="529">
      <c r="A529" s="4">
        <f>IF(B529="","",ROW()-1)</f>
      </c>
      <c r="B529" s="5"/>
      <c r="C529" s="2">
        <f>IF(B529="","",IF(C529="",NOW(),C529))</f>
      </c>
    </row>
    <row r="530">
      <c r="A530" s="4">
        <f>IF(B530="","",ROW()-1)</f>
      </c>
      <c r="B530" s="5"/>
      <c r="C530" s="2">
        <f>IF(B530="","",IF(C530="",NOW(),C530))</f>
      </c>
    </row>
    <row r="531">
      <c r="A531" s="4">
        <f>IF(B531="","",ROW()-1)</f>
      </c>
      <c r="B531" s="5"/>
      <c r="C531" s="2">
        <f>IF(B531="","",IF(C531="",NOW(),C531))</f>
      </c>
    </row>
    <row r="532">
      <c r="A532" s="4">
        <f>IF(B532="","",ROW()-1)</f>
      </c>
      <c r="B532" s="5"/>
      <c r="C532" s="2">
        <f>IF(B532="","",IF(C532="",NOW(),C532))</f>
      </c>
    </row>
    <row r="533">
      <c r="A533" s="4">
        <f>IF(B533="","",ROW()-1)</f>
      </c>
      <c r="B533" s="5"/>
      <c r="C533" s="2">
        <f>IF(B533="","",IF(C533="",NOW(),C533))</f>
      </c>
    </row>
    <row r="534">
      <c r="A534" s="4">
        <f>IF(B534="","",ROW()-1)</f>
      </c>
      <c r="B534" s="5"/>
      <c r="C534" s="2">
        <f>IF(B534="","",IF(C534="",NOW(),C534))</f>
      </c>
    </row>
    <row r="535">
      <c r="A535" s="4">
        <f>IF(B535="","",ROW()-1)</f>
      </c>
      <c r="B535" s="5"/>
      <c r="C535" s="2">
        <f>IF(B535="","",IF(C535="",NOW(),C535))</f>
      </c>
    </row>
    <row r="536">
      <c r="A536" s="4">
        <f>IF(B536="","",ROW()-1)</f>
      </c>
      <c r="B536" s="5"/>
      <c r="C536" s="2">
        <f>IF(B536="","",IF(C536="",NOW(),C536))</f>
      </c>
    </row>
    <row r="537">
      <c r="A537" s="4">
        <f>IF(B537="","",ROW()-1)</f>
      </c>
      <c r="B537" s="5"/>
      <c r="C537" s="2">
        <f>IF(B537="","",IF(C537="",NOW(),C537))</f>
      </c>
    </row>
    <row r="538">
      <c r="A538" s="4">
        <f>IF(B538="","",ROW()-1)</f>
      </c>
      <c r="B538" s="5"/>
      <c r="C538" s="2">
        <f>IF(B538="","",IF(C538="",NOW(),C538))</f>
      </c>
    </row>
    <row r="539">
      <c r="A539" s="4">
        <f>IF(B539="","",ROW()-1)</f>
      </c>
      <c r="B539" s="5"/>
      <c r="C539" s="2">
        <f>IF(B539="","",IF(C539="",NOW(),C539))</f>
      </c>
    </row>
    <row r="540">
      <c r="A540" s="4">
        <f>IF(B540="","",ROW()-1)</f>
      </c>
      <c r="B540" s="5"/>
      <c r="C540" s="2">
        <f>IF(B540="","",IF(C540="",NOW(),C540))</f>
      </c>
    </row>
    <row r="541">
      <c r="A541" s="4">
        <f>IF(B541="","",ROW()-1)</f>
      </c>
      <c r="B541" s="5"/>
      <c r="C541" s="2">
        <f>IF(B541="","",IF(C541="",NOW(),C541))</f>
      </c>
    </row>
    <row r="542">
      <c r="A542" s="4">
        <f>IF(B542="","",ROW()-1)</f>
      </c>
      <c r="B542" s="5"/>
      <c r="C542" s="2">
        <f>IF(B542="","",IF(C542="",NOW(),C542))</f>
      </c>
    </row>
    <row r="543">
      <c r="A543" s="4">
        <f>IF(B543="","",ROW()-1)</f>
      </c>
      <c r="B543" s="5"/>
      <c r="C543" s="2">
        <f>IF(B543="","",IF(C543="",NOW(),C543))</f>
      </c>
    </row>
    <row r="544">
      <c r="A544" s="4">
        <f>IF(B544="","",ROW()-1)</f>
      </c>
      <c r="B544" s="5"/>
      <c r="C544" s="2">
        <f>IF(B544="","",IF(C544="",NOW(),C544))</f>
      </c>
    </row>
    <row r="545">
      <c r="A545" s="4">
        <f>IF(B545="","",ROW()-1)</f>
      </c>
      <c r="B545" s="5"/>
      <c r="C545" s="2">
        <f>IF(B545="","",IF(C545="",NOW(),C545))</f>
      </c>
    </row>
    <row r="546">
      <c r="A546" s="4">
        <f>IF(B546="","",ROW()-1)</f>
      </c>
      <c r="B546" s="5"/>
      <c r="C546" s="2">
        <f>IF(B546="","",IF(C546="",NOW(),C546))</f>
      </c>
    </row>
    <row r="547">
      <c r="A547" s="4">
        <f>IF(B547="","",ROW()-1)</f>
      </c>
      <c r="B547" s="5"/>
      <c r="C547" s="2">
        <f>IF(B547="","",IF(C547="",NOW(),C547))</f>
      </c>
    </row>
    <row r="548">
      <c r="A548" s="4">
        <f>IF(B548="","",ROW()-1)</f>
      </c>
      <c r="B548" s="5"/>
      <c r="C548" s="2">
        <f>IF(B548="","",IF(C548="",NOW(),C548))</f>
      </c>
    </row>
    <row r="549">
      <c r="A549" s="4">
        <f>IF(B549="","",ROW()-1)</f>
      </c>
      <c r="B549" s="5"/>
      <c r="C549" s="2">
        <f>IF(B549="","",IF(C549="",NOW(),C549))</f>
      </c>
    </row>
    <row r="550">
      <c r="A550" s="4">
        <f>IF(B550="","",ROW()-1)</f>
      </c>
      <c r="B550" s="5"/>
      <c r="C550" s="2">
        <f>IF(B550="","",IF(C550="",NOW(),C550))</f>
      </c>
    </row>
    <row r="551">
      <c r="A551" s="4">
        <f>IF(B551="","",ROW()-1)</f>
      </c>
      <c r="B551" s="5"/>
      <c r="C551" s="2">
        <f>IF(B551="","",IF(C551="",NOW(),C551))</f>
      </c>
    </row>
    <row r="552">
      <c r="A552" s="4">
        <f>IF(B552="","",ROW()-1)</f>
      </c>
      <c r="B552" s="5"/>
      <c r="C552" s="2">
        <f>IF(B552="","",IF(C552="",NOW(),C552))</f>
      </c>
    </row>
    <row r="553">
      <c r="A553" s="4">
        <f>IF(B553="","",ROW()-1)</f>
      </c>
      <c r="B553" s="5"/>
      <c r="C553" s="2">
        <f>IF(B553="","",IF(C553="",NOW(),C553))</f>
      </c>
    </row>
    <row r="554">
      <c r="A554" s="4">
        <f>IF(B554="","",ROW()-1)</f>
      </c>
      <c r="B554" s="5"/>
      <c r="C554" s="2">
        <f>IF(B554="","",IF(C554="",NOW(),C554))</f>
      </c>
    </row>
    <row r="555">
      <c r="A555" s="4">
        <f>IF(B555="","",ROW()-1)</f>
      </c>
      <c r="B555" s="5"/>
      <c r="C555" s="2">
        <f>IF(B555="","",IF(C555="",NOW(),C555))</f>
      </c>
    </row>
    <row r="556">
      <c r="A556" s="4">
        <f>IF(B556="","",ROW()-1)</f>
      </c>
      <c r="B556" s="5"/>
      <c r="C556" s="2">
        <f>IF(B556="","",IF(C556="",NOW(),C556))</f>
      </c>
    </row>
    <row r="557">
      <c r="A557" s="4">
        <f>IF(B557="","",ROW()-1)</f>
      </c>
      <c r="B557" s="5"/>
      <c r="C557" s="2">
        <f>IF(B557="","",IF(C557="",NOW(),C557))</f>
      </c>
    </row>
    <row r="558">
      <c r="A558" s="4">
        <f>IF(B558="","",ROW()-1)</f>
      </c>
      <c r="B558" s="5"/>
      <c r="C558" s="2">
        <f>IF(B558="","",IF(C558="",NOW(),C558))</f>
      </c>
    </row>
    <row r="559">
      <c r="A559" s="4">
        <f>IF(B559="","",ROW()-1)</f>
      </c>
      <c r="B559" s="5"/>
      <c r="C559" s="2">
        <f>IF(B559="","",IF(C559="",NOW(),C559))</f>
      </c>
    </row>
    <row r="560">
      <c r="A560" s="4">
        <f>IF(B560="","",ROW()-1)</f>
      </c>
      <c r="B560" s="5"/>
      <c r="C560" s="2">
        <f>IF(B560="","",IF(C560="",NOW(),C560))</f>
      </c>
    </row>
    <row r="561">
      <c r="A561" s="4">
        <f>IF(B561="","",ROW()-1)</f>
      </c>
      <c r="B561" s="5"/>
      <c r="C561" s="2">
        <f>IF(B561="","",IF(C561="",NOW(),C561))</f>
      </c>
    </row>
    <row r="562">
      <c r="A562" s="4">
        <f>IF(B562="","",ROW()-1)</f>
      </c>
      <c r="B562" s="5"/>
      <c r="C562" s="2">
        <f>IF(B562="","",IF(C562="",NOW(),C562))</f>
      </c>
    </row>
    <row r="563">
      <c r="A563" s="4">
        <f>IF(B563="","",ROW()-1)</f>
      </c>
      <c r="B563" s="5"/>
      <c r="C563" s="2">
        <f>IF(B563="","",IF(C563="",NOW(),C563))</f>
      </c>
    </row>
    <row r="564">
      <c r="A564" s="4">
        <f>IF(B564="","",ROW()-1)</f>
      </c>
      <c r="B564" s="5"/>
      <c r="C564" s="2">
        <f>IF(B564="","",IF(C564="",NOW(),C564))</f>
      </c>
    </row>
    <row r="565">
      <c r="A565" s="4">
        <f>IF(B565="","",ROW()-1)</f>
      </c>
      <c r="B565" s="5"/>
      <c r="C565" s="2">
        <f>IF(B565="","",IF(C565="",NOW(),C565))</f>
      </c>
    </row>
    <row r="566">
      <c r="A566" s="4">
        <f>IF(B566="","",ROW()-1)</f>
      </c>
      <c r="B566" s="5"/>
      <c r="C566" s="2">
        <f>IF(B566="","",IF(C566="",NOW(),C566))</f>
      </c>
    </row>
    <row r="567">
      <c r="A567" s="4">
        <f>IF(B567="","",ROW()-1)</f>
      </c>
      <c r="B567" s="5"/>
      <c r="C567" s="2">
        <f>IF(B567="","",IF(C567="",NOW(),C567))</f>
      </c>
    </row>
    <row r="568">
      <c r="A568" s="4">
        <f>IF(B568="","",ROW()-1)</f>
      </c>
      <c r="B568" s="5"/>
      <c r="C568" s="2">
        <f>IF(B568="","",IF(C568="",NOW(),C568))</f>
      </c>
    </row>
    <row r="569">
      <c r="A569" s="4">
        <f>IF(B569="","",ROW()-1)</f>
      </c>
      <c r="B569" s="5"/>
      <c r="C569" s="2">
        <f>IF(B569="","",IF(C569="",NOW(),C569))</f>
      </c>
    </row>
    <row r="570">
      <c r="A570" s="4">
        <f>IF(B570="","",ROW()-1)</f>
      </c>
      <c r="B570" s="5"/>
      <c r="C570" s="2">
        <f>IF(B570="","",IF(C570="",NOW(),C570))</f>
      </c>
    </row>
    <row r="571">
      <c r="A571" s="4">
        <f>IF(B571="","",ROW()-1)</f>
      </c>
      <c r="B571" s="5"/>
      <c r="C571" s="2">
        <f>IF(B571="","",IF(C571="",NOW(),C571))</f>
      </c>
    </row>
    <row r="572">
      <c r="A572" s="4">
        <f>IF(B572="","",ROW()-1)</f>
      </c>
      <c r="B572" s="5"/>
      <c r="C572" s="2">
        <f>IF(B572="","",IF(C572="",NOW(),C572))</f>
      </c>
    </row>
    <row r="573">
      <c r="A573" s="4">
        <f>IF(B573="","",ROW()-1)</f>
      </c>
      <c r="B573" s="5"/>
      <c r="C573" s="2">
        <f>IF(B573="","",IF(C573="",NOW(),C573))</f>
      </c>
    </row>
    <row r="574">
      <c r="A574" s="4">
        <f>IF(B574="","",ROW()-1)</f>
      </c>
      <c r="B574" s="5"/>
      <c r="C574" s="2">
        <f>IF(B574="","",IF(C574="",NOW(),C574))</f>
      </c>
    </row>
    <row r="575">
      <c r="A575" s="4">
        <f>IF(B575="","",ROW()-1)</f>
      </c>
      <c r="B575" s="5"/>
      <c r="C575" s="2">
        <f>IF(B575="","",IF(C575="",NOW(),C575))</f>
      </c>
    </row>
    <row r="576">
      <c r="A576" s="4">
        <f>IF(B576="","",ROW()-1)</f>
      </c>
      <c r="B576" s="5"/>
      <c r="C576" s="2">
        <f>IF(B576="","",IF(C576="",NOW(),C576))</f>
      </c>
    </row>
    <row r="577">
      <c r="A577" s="4">
        <f>IF(B577="","",ROW()-1)</f>
      </c>
      <c r="B577" s="5"/>
      <c r="C577" s="2">
        <f>IF(B577="","",IF(C577="",NOW(),C577))</f>
      </c>
    </row>
    <row r="578">
      <c r="A578" s="4">
        <f>IF(B578="","",ROW()-1)</f>
      </c>
      <c r="B578" s="5"/>
      <c r="C578" s="2">
        <f>IF(B578="","",IF(C578="",NOW(),C578))</f>
      </c>
    </row>
    <row r="579">
      <c r="A579" s="4">
        <f>IF(B579="","",ROW()-1)</f>
      </c>
      <c r="B579" s="5"/>
      <c r="C579" s="2">
        <f>IF(B579="","",IF(C579="",NOW(),C579))</f>
      </c>
    </row>
    <row r="580">
      <c r="A580" s="4">
        <f>IF(B580="","",ROW()-1)</f>
      </c>
      <c r="B580" s="5"/>
      <c r="C580" s="2">
        <f>IF(B580="","",IF(C580="",NOW(),C580))</f>
      </c>
    </row>
    <row r="581">
      <c r="A581" s="4">
        <f>IF(B581="","",ROW()-1)</f>
      </c>
      <c r="B581" s="5"/>
      <c r="C581" s="2">
        <f>IF(B581="","",IF(C581="",NOW(),C581))</f>
      </c>
    </row>
    <row r="582">
      <c r="A582" s="4">
        <f>IF(B582="","",ROW()-1)</f>
      </c>
      <c r="B582" s="5"/>
      <c r="C582" s="2">
        <f>IF(B582="","",IF(C582="",NOW(),C582))</f>
      </c>
    </row>
    <row r="583">
      <c r="A583" s="4">
        <f>IF(B583="","",ROW()-1)</f>
      </c>
      <c r="B583" s="5"/>
      <c r="C583" s="2">
        <f>IF(B583="","",IF(C583="",NOW(),C583))</f>
      </c>
    </row>
    <row r="584">
      <c r="A584" s="4">
        <f>IF(B584="","",ROW()-1)</f>
      </c>
      <c r="B584" s="5"/>
      <c r="C584" s="2">
        <f>IF(B584="","",IF(C584="",NOW(),C584))</f>
      </c>
    </row>
    <row r="585">
      <c r="A585" s="4">
        <f>IF(B585="","",ROW()-1)</f>
      </c>
      <c r="B585" s="5"/>
      <c r="C585" s="2">
        <f>IF(B585="","",IF(C585="",NOW(),C585))</f>
      </c>
    </row>
    <row r="586">
      <c r="A586" s="4">
        <f>IF(B586="","",ROW()-1)</f>
      </c>
      <c r="B586" s="5"/>
      <c r="C586" s="2">
        <f>IF(B586="","",IF(C586="",NOW(),C586))</f>
      </c>
    </row>
    <row r="587">
      <c r="A587" s="4">
        <f>IF(B587="","",ROW()-1)</f>
      </c>
      <c r="B587" s="5"/>
      <c r="C587" s="2">
        <f>IF(B587="","",IF(C587="",NOW(),C587))</f>
      </c>
    </row>
    <row r="588">
      <c r="A588" s="4">
        <f>IF(B588="","",ROW()-1)</f>
      </c>
      <c r="B588" s="5"/>
      <c r="C588" s="2">
        <f>IF(B588="","",IF(C588="",NOW(),C588))</f>
      </c>
    </row>
    <row r="589">
      <c r="A589" s="4">
        <f>IF(B589="","",ROW()-1)</f>
      </c>
      <c r="B589" s="5"/>
      <c r="C589" s="2">
        <f>IF(B589="","",IF(C589="",NOW(),C589))</f>
      </c>
    </row>
    <row r="590">
      <c r="A590" s="4">
        <f>IF(B590="","",ROW()-1)</f>
      </c>
      <c r="B590" s="5"/>
      <c r="C590" s="2">
        <f>IF(B590="","",IF(C590="",NOW(),C590))</f>
      </c>
    </row>
    <row r="591">
      <c r="A591" s="4">
        <f>IF(B591="","",ROW()-1)</f>
      </c>
      <c r="B591" s="5"/>
      <c r="C591" s="2">
        <f>IF(B591="","",IF(C591="",NOW(),C591))</f>
      </c>
    </row>
    <row r="592">
      <c r="A592" s="4">
        <f>IF(B592="","",ROW()-1)</f>
      </c>
      <c r="B592" s="5"/>
      <c r="C592" s="2">
        <f>IF(B592="","",IF(C592="",NOW(),C592))</f>
      </c>
    </row>
    <row r="593">
      <c r="A593" s="4">
        <f>IF(B593="","",ROW()-1)</f>
      </c>
      <c r="B593" s="5"/>
      <c r="C593" s="2">
        <f>IF(B593="","",IF(C593="",NOW(),C593))</f>
      </c>
    </row>
    <row r="594">
      <c r="A594" s="4">
        <f>IF(B594="","",ROW()-1)</f>
      </c>
      <c r="B594" s="5"/>
      <c r="C594" s="2">
        <f>IF(B594="","",IF(C594="",NOW(),C594))</f>
      </c>
    </row>
    <row r="595">
      <c r="A595" s="4">
        <f>IF(B595="","",ROW()-1)</f>
      </c>
      <c r="B595" s="5"/>
      <c r="C595" s="2">
        <f>IF(B595="","",IF(C595="",NOW(),C595))</f>
      </c>
    </row>
    <row r="596">
      <c r="A596" s="4">
        <f>IF(B596="","",ROW()-1)</f>
      </c>
      <c r="B596" s="5"/>
      <c r="C596" s="2">
        <f>IF(B596="","",IF(C596="",NOW(),C596))</f>
      </c>
    </row>
    <row r="597">
      <c r="A597" s="4">
        <f>IF(B597="","",ROW()-1)</f>
      </c>
      <c r="B597" s="5"/>
      <c r="C597" s="2">
        <f>IF(B597="","",IF(C597="",NOW(),C597))</f>
      </c>
    </row>
    <row r="598">
      <c r="A598" s="4">
        <f>IF(B598="","",ROW()-1)</f>
      </c>
      <c r="B598" s="5"/>
      <c r="C598" s="2">
        <f>IF(B598="","",IF(C598="",NOW(),C598))</f>
      </c>
    </row>
    <row r="599">
      <c r="A599" s="4">
        <f>IF(B599="","",ROW()-1)</f>
      </c>
      <c r="B599" s="5"/>
      <c r="C599" s="2">
        <f>IF(B599="","",IF(C599="",NOW(),C599))</f>
      </c>
    </row>
    <row r="600">
      <c r="A600" s="4">
        <f>IF(B600="","",ROW()-1)</f>
      </c>
      <c r="B600" s="5"/>
      <c r="C600" s="2">
        <f>IF(B600="","",IF(C600="",NOW(),C600))</f>
      </c>
    </row>
    <row r="601">
      <c r="A601" s="4">
        <f>IF(B601="","",ROW()-1)</f>
      </c>
      <c r="B601" s="5"/>
      <c r="C601" s="2">
        <f>IF(B601="","",IF(C601="",NOW(),C601))</f>
      </c>
    </row>
    <row r="602">
      <c r="A602" s="4">
        <f>IF(B602="","",ROW()-1)</f>
      </c>
      <c r="B602" s="5"/>
      <c r="C602" s="2">
        <f>IF(B602="","",IF(C602="",NOW(),C602))</f>
      </c>
    </row>
    <row r="603">
      <c r="A603" s="4">
        <f>IF(B603="","",ROW()-1)</f>
      </c>
      <c r="B603" s="5"/>
      <c r="C603" s="2">
        <f>IF(B603="","",IF(C603="",NOW(),C603))</f>
      </c>
    </row>
    <row r="604">
      <c r="A604" s="4">
        <f>IF(B604="","",ROW()-1)</f>
      </c>
      <c r="B604" s="5"/>
      <c r="C604" s="2">
        <f>IF(B604="","",IF(C604="",NOW(),C604))</f>
      </c>
    </row>
    <row r="605">
      <c r="A605" s="4">
        <f>IF(B605="","",ROW()-1)</f>
      </c>
      <c r="B605" s="5"/>
      <c r="C605" s="2">
        <f>IF(B605="","",IF(C605="",NOW(),C605))</f>
      </c>
    </row>
    <row r="606">
      <c r="A606" s="4">
        <f>IF(B606="","",ROW()-1)</f>
      </c>
      <c r="B606" s="5"/>
      <c r="C606" s="2">
        <f>IF(B606="","",IF(C606="",NOW(),C606))</f>
      </c>
    </row>
    <row r="607">
      <c r="A607" s="4">
        <f>IF(B607="","",ROW()-1)</f>
      </c>
      <c r="B607" s="5"/>
      <c r="C607" s="2">
        <f>IF(B607="","",IF(C607="",NOW(),C607))</f>
      </c>
    </row>
    <row r="608">
      <c r="A608" s="4">
        <f>IF(B608="","",ROW()-1)</f>
      </c>
      <c r="B608" s="5"/>
      <c r="C608" s="2">
        <f>IF(B608="","",IF(C608="",NOW(),C608))</f>
      </c>
    </row>
    <row r="609">
      <c r="A609" s="4">
        <f>IF(B609="","",ROW()-1)</f>
      </c>
      <c r="B609" s="5"/>
      <c r="C609" s="2">
        <f>IF(B609="","",IF(C609="",NOW(),C609))</f>
      </c>
    </row>
    <row r="610">
      <c r="A610" s="4">
        <f>IF(B610="","",ROW()-1)</f>
      </c>
      <c r="B610" s="5"/>
      <c r="C610" s="2">
        <f>IF(B610="","",IF(C610="",NOW(),C610))</f>
      </c>
    </row>
    <row r="611">
      <c r="A611" s="4">
        <f>IF(B611="","",ROW()-1)</f>
      </c>
      <c r="B611" s="5"/>
      <c r="C611" s="2">
        <f>IF(B611="","",IF(C611="",NOW(),C611))</f>
      </c>
    </row>
    <row r="612">
      <c r="A612" s="4">
        <f>IF(B612="","",ROW()-1)</f>
      </c>
      <c r="B612" s="5"/>
      <c r="C612" s="2">
        <f>IF(B612="","",IF(C612="",NOW(),C612))</f>
      </c>
    </row>
    <row r="613">
      <c r="A613" s="4">
        <f>IF(B613="","",ROW()-1)</f>
      </c>
      <c r="B613" s="5"/>
      <c r="C613" s="2">
        <f>IF(B613="","",IF(C613="",NOW(),C613))</f>
      </c>
    </row>
    <row r="614">
      <c r="A614" s="4">
        <f>IF(B614="","",ROW()-1)</f>
      </c>
      <c r="B614" s="5"/>
      <c r="C614" s="2">
        <f>IF(B614="","",IF(C614="",NOW(),C614))</f>
      </c>
    </row>
    <row r="615">
      <c r="A615" s="4">
        <f>IF(B615="","",ROW()-1)</f>
      </c>
      <c r="B615" s="5"/>
      <c r="C615" s="2">
        <f>IF(B615="","",IF(C615="",NOW(),C615))</f>
      </c>
    </row>
    <row r="616">
      <c r="A616" s="4">
        <f>IF(B616="","",ROW()-1)</f>
      </c>
      <c r="B616" s="5"/>
      <c r="C616" s="2">
        <f>IF(B616="","",IF(C616="",NOW(),C616))</f>
      </c>
    </row>
    <row r="617">
      <c r="A617" s="4">
        <f>IF(B617="","",ROW()-1)</f>
      </c>
      <c r="B617" s="5"/>
      <c r="C617" s="2">
        <f>IF(B617="","",IF(C617="",NOW(),C617))</f>
      </c>
    </row>
    <row r="618">
      <c r="A618" s="4">
        <f>IF(B618="","",ROW()-1)</f>
      </c>
      <c r="B618" s="5"/>
      <c r="C618" s="2">
        <f>IF(B618="","",IF(C618="",NOW(),C618))</f>
      </c>
    </row>
    <row r="619">
      <c r="A619" s="4">
        <f>IF(B619="","",ROW()-1)</f>
      </c>
      <c r="B619" s="5"/>
      <c r="C619" s="2">
        <f>IF(B619="","",IF(C619="",NOW(),C619))</f>
      </c>
    </row>
    <row r="620">
      <c r="A620" s="4">
        <f>IF(B620="","",ROW()-1)</f>
      </c>
      <c r="B620" s="5"/>
      <c r="C620" s="2">
        <f>IF(B620="","",IF(C620="",NOW(),C620))</f>
      </c>
    </row>
    <row r="621">
      <c r="A621" s="4">
        <f>IF(B621="","",ROW()-1)</f>
      </c>
      <c r="B621" s="5"/>
      <c r="C621" s="2">
        <f>IF(B621="","",IF(C621="",NOW(),C621))</f>
      </c>
    </row>
    <row r="622">
      <c r="A622" s="4">
        <f>IF(B622="","",ROW()-1)</f>
      </c>
      <c r="B622" s="5"/>
      <c r="C622" s="2">
        <f>IF(B622="","",IF(C622="",NOW(),C622))</f>
      </c>
    </row>
    <row r="623">
      <c r="A623" s="4">
        <f>IF(B623="","",ROW()-1)</f>
      </c>
      <c r="B623" s="5"/>
      <c r="C623" s="2">
        <f>IF(B623="","",IF(C623="",NOW(),C623))</f>
      </c>
    </row>
    <row r="624">
      <c r="A624" s="4">
        <f>IF(B624="","",ROW()-1)</f>
      </c>
      <c r="B624" s="5"/>
      <c r="C624" s="2">
        <f>IF(B624="","",IF(C624="",NOW(),C624))</f>
      </c>
    </row>
    <row r="625">
      <c r="A625" s="4">
        <f>IF(B625="","",ROW()-1)</f>
      </c>
      <c r="B625" s="5"/>
      <c r="C625" s="2">
        <f>IF(B625="","",IF(C625="",NOW(),C625))</f>
      </c>
    </row>
    <row r="626">
      <c r="A626" s="4">
        <f>IF(B626="","",ROW()-1)</f>
      </c>
      <c r="B626" s="5"/>
      <c r="C626" s="2">
        <f>IF(B626="","",IF(C626="",NOW(),C626))</f>
      </c>
    </row>
    <row r="627">
      <c r="A627" s="4">
        <f>IF(B627="","",ROW()-1)</f>
      </c>
      <c r="B627" s="5"/>
      <c r="C627" s="2">
        <f>IF(B627="","",IF(C627="",NOW(),C627))</f>
      </c>
    </row>
    <row r="628">
      <c r="A628" s="4">
        <f>IF(B628="","",ROW()-1)</f>
      </c>
      <c r="B628" s="5"/>
      <c r="C628" s="2">
        <f>IF(B628="","",IF(C628="",NOW(),C628))</f>
      </c>
    </row>
    <row r="629">
      <c r="A629" s="4">
        <f>IF(B629="","",ROW()-1)</f>
      </c>
      <c r="B629" s="5"/>
      <c r="C629" s="2">
        <f>IF(B629="","",IF(C629="",NOW(),C629))</f>
      </c>
    </row>
    <row r="630">
      <c r="A630" s="4">
        <f>IF(B630="","",ROW()-1)</f>
      </c>
      <c r="B630" s="5"/>
      <c r="C630" s="2">
        <f>IF(B630="","",IF(C630="",NOW(),C630))</f>
      </c>
    </row>
    <row r="631">
      <c r="A631" s="4">
        <f>IF(B631="","",ROW()-1)</f>
      </c>
      <c r="B631" s="5"/>
      <c r="C631" s="2">
        <f>IF(B631="","",IF(C631="",NOW(),C631))</f>
      </c>
    </row>
    <row r="632">
      <c r="A632" s="4">
        <f>IF(B632="","",ROW()-1)</f>
      </c>
      <c r="B632" s="5"/>
      <c r="C632" s="2">
        <f>IF(B632="","",IF(C632="",NOW(),C632))</f>
      </c>
    </row>
    <row r="633">
      <c r="A633" s="4">
        <f>IF(B633="","",ROW()-1)</f>
      </c>
      <c r="B633" s="5"/>
      <c r="C633" s="2">
        <f>IF(B633="","",IF(C633="",NOW(),C633))</f>
      </c>
    </row>
    <row r="634">
      <c r="A634" s="4">
        <f>IF(B634="","",ROW()-1)</f>
      </c>
      <c r="B634" s="5"/>
      <c r="C634" s="2">
        <f>IF(B634="","",IF(C634="",NOW(),C634))</f>
      </c>
    </row>
    <row r="635">
      <c r="A635" s="4">
        <f>IF(B635="","",ROW()-1)</f>
      </c>
      <c r="B635" s="5"/>
      <c r="C635" s="2">
        <f>IF(B635="","",IF(C635="",NOW(),C635))</f>
      </c>
    </row>
    <row r="636">
      <c r="A636" s="4">
        <f>IF(B636="","",ROW()-1)</f>
      </c>
      <c r="B636" s="5"/>
      <c r="C636" s="2">
        <f>IF(B636="","",IF(C636="",NOW(),C636))</f>
      </c>
    </row>
    <row r="637">
      <c r="A637" s="4">
        <f>IF(B637="","",ROW()-1)</f>
      </c>
      <c r="B637" s="5"/>
      <c r="C637" s="2">
        <f>IF(B637="","",IF(C637="",NOW(),C637))</f>
      </c>
    </row>
    <row r="638">
      <c r="A638" s="4">
        <f>IF(B638="","",ROW()-1)</f>
      </c>
      <c r="B638" s="5"/>
      <c r="C638" s="2">
        <f>IF(B638="","",IF(C638="",NOW(),C638))</f>
      </c>
    </row>
    <row r="639">
      <c r="A639" s="4">
        <f>IF(B639="","",ROW()-1)</f>
      </c>
      <c r="B639" s="5"/>
      <c r="C639" s="2">
        <f>IF(B639="","",IF(C639="",NOW(),C639))</f>
      </c>
    </row>
    <row r="640">
      <c r="A640" s="4">
        <f>IF(B640="","",ROW()-1)</f>
      </c>
      <c r="B640" s="5"/>
      <c r="C640" s="2">
        <f>IF(B640="","",IF(C640="",NOW(),C640))</f>
      </c>
    </row>
    <row r="641">
      <c r="A641" s="4">
        <f>IF(B641="","",ROW()-1)</f>
      </c>
      <c r="B641" s="5"/>
      <c r="C641" s="2">
        <f>IF(B641="","",IF(C641="",NOW(),C641))</f>
      </c>
    </row>
    <row r="642">
      <c r="A642" s="4">
        <f>IF(B642="","",ROW()-1)</f>
      </c>
      <c r="B642" s="5"/>
      <c r="C642" s="2">
        <f>IF(B642="","",IF(C642="",NOW(),C642))</f>
      </c>
    </row>
    <row r="643">
      <c r="A643" s="4">
        <f>IF(B643="","",ROW()-1)</f>
      </c>
      <c r="B643" s="5"/>
      <c r="C643" s="2">
        <f>IF(B643="","",IF(C643="",NOW(),C643))</f>
      </c>
    </row>
    <row r="644">
      <c r="A644" s="4">
        <f>IF(B644="","",ROW()-1)</f>
      </c>
      <c r="B644" s="5"/>
      <c r="C644" s="2">
        <f>IF(B644="","",IF(C644="",NOW(),C644))</f>
      </c>
    </row>
    <row r="645">
      <c r="A645" s="4">
        <f>IF(B645="","",ROW()-1)</f>
      </c>
      <c r="B645" s="5"/>
      <c r="C645" s="2">
        <f>IF(B645="","",IF(C645="",NOW(),C645))</f>
      </c>
    </row>
    <row r="646">
      <c r="A646" s="4">
        <f>IF(B646="","",ROW()-1)</f>
      </c>
      <c r="B646" s="5"/>
      <c r="C646" s="2">
        <f>IF(B646="","",IF(C646="",NOW(),C646))</f>
      </c>
    </row>
    <row r="647">
      <c r="A647" s="4">
        <f>IF(B647="","",ROW()-1)</f>
      </c>
      <c r="B647" s="5"/>
      <c r="C647" s="2">
        <f>IF(B647="","",IF(C647="",NOW(),C647))</f>
      </c>
    </row>
    <row r="648">
      <c r="A648" s="4">
        <f>IF(B648="","",ROW()-1)</f>
      </c>
      <c r="B648" s="5"/>
      <c r="C648" s="2">
        <f>IF(B648="","",IF(C648="",NOW(),C648))</f>
      </c>
    </row>
    <row r="649">
      <c r="A649" s="4">
        <f>IF(B649="","",ROW()-1)</f>
      </c>
      <c r="B649" s="5"/>
      <c r="C649" s="2">
        <f>IF(B649="","",IF(C649="",NOW(),C649))</f>
      </c>
    </row>
    <row r="650">
      <c r="A650" s="4">
        <f>IF(B650="","",ROW()-1)</f>
      </c>
      <c r="B650" s="5"/>
      <c r="C650" s="2">
        <f>IF(B650="","",IF(C650="",NOW(),C650))</f>
      </c>
    </row>
    <row r="651">
      <c r="A651" s="4">
        <f>IF(B651="","",ROW()-1)</f>
      </c>
      <c r="B651" s="5"/>
      <c r="C651" s="2">
        <f>IF(B651="","",IF(C651="",NOW(),C651))</f>
      </c>
    </row>
    <row r="652">
      <c r="A652" s="4">
        <f>IF(B652="","",ROW()-1)</f>
      </c>
      <c r="B652" s="5"/>
      <c r="C652" s="2">
        <f>IF(B652="","",IF(C652="",NOW(),C652))</f>
      </c>
    </row>
    <row r="653">
      <c r="A653" s="4">
        <f>IF(B653="","",ROW()-1)</f>
      </c>
      <c r="B653" s="5"/>
      <c r="C653" s="2">
        <f>IF(B653="","",IF(C653="",NOW(),C653))</f>
      </c>
    </row>
    <row r="654">
      <c r="A654" s="4">
        <f>IF(B654="","",ROW()-1)</f>
      </c>
      <c r="B654" s="5"/>
      <c r="C654" s="2">
        <f>IF(B654="","",IF(C654="",NOW(),C654))</f>
      </c>
    </row>
    <row r="655">
      <c r="A655" s="4">
        <f>IF(B655="","",ROW()-1)</f>
      </c>
      <c r="B655" s="5"/>
      <c r="C655" s="2">
        <f>IF(B655="","",IF(C655="",NOW(),C655))</f>
      </c>
    </row>
    <row r="656">
      <c r="A656" s="4">
        <f>IF(B656="","",ROW()-1)</f>
      </c>
      <c r="B656" s="5"/>
      <c r="C656" s="2">
        <f>IF(B656="","",IF(C656="",NOW(),C656))</f>
      </c>
    </row>
    <row r="657">
      <c r="A657" s="4">
        <f>IF(B657="","",ROW()-1)</f>
      </c>
      <c r="B657" s="5"/>
      <c r="C657" s="2">
        <f>IF(B657="","",IF(C657="",NOW(),C657))</f>
      </c>
    </row>
    <row r="658">
      <c r="A658" s="4">
        <f>IF(B658="","",ROW()-1)</f>
      </c>
      <c r="B658" s="5"/>
      <c r="C658" s="2">
        <f>IF(B658="","",IF(C658="",NOW(),C658))</f>
      </c>
    </row>
    <row r="659">
      <c r="A659" s="4">
        <f>IF(B659="","",ROW()-1)</f>
      </c>
      <c r="B659" s="5"/>
      <c r="C659" s="2">
        <f>IF(B659="","",IF(C659="",NOW(),C659))</f>
      </c>
    </row>
    <row r="660">
      <c r="A660" s="4">
        <f>IF(B660="","",ROW()-1)</f>
      </c>
      <c r="B660" s="5"/>
      <c r="C660" s="2">
        <f>IF(B660="","",IF(C660="",NOW(),C660))</f>
      </c>
    </row>
    <row r="661">
      <c r="A661" s="4">
        <f>IF(B661="","",ROW()-1)</f>
      </c>
      <c r="B661" s="5"/>
      <c r="C661" s="2">
        <f>IF(B661="","",IF(C661="",NOW(),C661))</f>
      </c>
    </row>
    <row r="662">
      <c r="A662" s="4">
        <f>IF(B662="","",ROW()-1)</f>
      </c>
      <c r="B662" s="5"/>
      <c r="C662" s="2">
        <f>IF(B662="","",IF(C662="",NOW(),C662))</f>
      </c>
    </row>
    <row r="663">
      <c r="A663" s="4">
        <f>IF(B663="","",ROW()-1)</f>
      </c>
      <c r="B663" s="5"/>
      <c r="C663" s="2">
        <f>IF(B663="","",IF(C663="",NOW(),C663))</f>
      </c>
    </row>
    <row r="664">
      <c r="A664" s="4">
        <f>IF(B664="","",ROW()-1)</f>
      </c>
      <c r="B664" s="5"/>
      <c r="C664" s="2">
        <f>IF(B664="","",IF(C664="",NOW(),C664))</f>
      </c>
    </row>
    <row r="665">
      <c r="A665" s="4">
        <f>IF(B665="","",ROW()-1)</f>
      </c>
      <c r="B665" s="5"/>
      <c r="C665" s="2">
        <f>IF(B665="","",IF(C665="",NOW(),C665))</f>
      </c>
    </row>
    <row r="666">
      <c r="A666" s="4">
        <f>IF(B666="","",ROW()-1)</f>
      </c>
      <c r="B666" s="5"/>
      <c r="C666" s="2">
        <f>IF(B666="","",IF(C666="",NOW(),C666))</f>
      </c>
    </row>
    <row r="667">
      <c r="A667" s="4">
        <f>IF(B667="","",ROW()-1)</f>
      </c>
      <c r="B667" s="5"/>
      <c r="C667" s="2">
        <f>IF(B667="","",IF(C667="",NOW(),C667))</f>
      </c>
    </row>
    <row r="668">
      <c r="A668" s="4">
        <f>IF(B668="","",ROW()-1)</f>
      </c>
      <c r="B668" s="5"/>
      <c r="C668" s="2">
        <f>IF(B668="","",IF(C668="",NOW(),C668))</f>
      </c>
    </row>
    <row r="669">
      <c r="A669" s="4">
        <f>IF(B669="","",ROW()-1)</f>
      </c>
      <c r="B669" s="5"/>
      <c r="C669" s="2">
        <f>IF(B669="","",IF(C669="",NOW(),C669))</f>
      </c>
    </row>
    <row r="670">
      <c r="A670" s="4">
        <f>IF(B670="","",ROW()-1)</f>
      </c>
      <c r="B670" s="5"/>
      <c r="C670" s="2">
        <f>IF(B670="","",IF(C670="",NOW(),C670))</f>
      </c>
    </row>
    <row r="671">
      <c r="A671" s="4">
        <f>IF(B671="","",ROW()-1)</f>
      </c>
      <c r="B671" s="5"/>
      <c r="C671" s="2">
        <f>IF(B671="","",IF(C671="",NOW(),C671))</f>
      </c>
    </row>
    <row r="672">
      <c r="A672" s="4">
        <f>IF(B672="","",ROW()-1)</f>
      </c>
      <c r="B672" s="5"/>
      <c r="C672" s="2">
        <f>IF(B672="","",IF(C672="",NOW(),C672))</f>
      </c>
    </row>
    <row r="673">
      <c r="A673" s="4">
        <f>IF(B673="","",ROW()-1)</f>
      </c>
      <c r="B673" s="5"/>
      <c r="C673" s="2">
        <f>IF(B673="","",IF(C673="",NOW(),C673))</f>
      </c>
    </row>
    <row r="674">
      <c r="A674" s="4">
        <f>IF(B674="","",ROW()-1)</f>
      </c>
      <c r="B674" s="5"/>
      <c r="C674" s="2">
        <f>IF(B674="","",IF(C674="",NOW(),C674))</f>
      </c>
    </row>
    <row r="675">
      <c r="A675" s="4">
        <f>IF(B675="","",ROW()-1)</f>
      </c>
      <c r="B675" s="5"/>
      <c r="C675" s="2">
        <f>IF(B675="","",IF(C675="",NOW(),C675))</f>
      </c>
    </row>
    <row r="676">
      <c r="A676" s="4">
        <f>IF(B676="","",ROW()-1)</f>
      </c>
      <c r="B676" s="5"/>
      <c r="C676" s="2">
        <f>IF(B676="","",IF(C676="",NOW(),C676))</f>
      </c>
    </row>
    <row r="677">
      <c r="A677" s="4">
        <f>IF(B677="","",ROW()-1)</f>
      </c>
      <c r="B677" s="5"/>
      <c r="C677" s="2">
        <f>IF(B677="","",IF(C677="",NOW(),C677))</f>
      </c>
    </row>
    <row r="678">
      <c r="A678" s="4">
        <f>IF(B678="","",ROW()-1)</f>
      </c>
      <c r="B678" s="5"/>
      <c r="C678" s="2">
        <f>IF(B678="","",IF(C678="",NOW(),C678))</f>
      </c>
    </row>
    <row r="679">
      <c r="A679" s="4">
        <f>IF(B679="","",ROW()-1)</f>
      </c>
      <c r="B679" s="5"/>
      <c r="C679" s="2">
        <f>IF(B679="","",IF(C679="",NOW(),C679))</f>
      </c>
    </row>
    <row r="680">
      <c r="A680" s="4">
        <f>IF(B680="","",ROW()-1)</f>
      </c>
      <c r="B680" s="5"/>
      <c r="C680" s="2">
        <f>IF(B680="","",IF(C680="",NOW(),C680))</f>
      </c>
    </row>
    <row r="681">
      <c r="A681" s="4">
        <f>IF(B681="","",ROW()-1)</f>
      </c>
      <c r="B681" s="5"/>
      <c r="C681" s="2">
        <f>IF(B681="","",IF(C681="",NOW(),C681))</f>
      </c>
    </row>
    <row r="682">
      <c r="A682" s="4">
        <f>IF(B682="","",ROW()-1)</f>
      </c>
      <c r="B682" s="5"/>
      <c r="C682" s="2">
        <f>IF(B682="","",IF(C682="",NOW(),C682))</f>
      </c>
    </row>
    <row r="683">
      <c r="A683" s="4">
        <f>IF(B683="","",ROW()-1)</f>
      </c>
      <c r="B683" s="5"/>
      <c r="C683" s="2">
        <f>IF(B683="","",IF(C683="",NOW(),C683))</f>
      </c>
    </row>
    <row r="684">
      <c r="A684" s="4">
        <f>IF(B684="","",ROW()-1)</f>
      </c>
      <c r="B684" s="5"/>
      <c r="C684" s="2">
        <f>IF(B684="","",IF(C684="",NOW(),C684))</f>
      </c>
    </row>
    <row r="685">
      <c r="A685" s="4">
        <f>IF(B685="","",ROW()-1)</f>
      </c>
      <c r="B685" s="5"/>
      <c r="C685" s="2">
        <f>IF(B685="","",IF(C685="",NOW(),C685))</f>
      </c>
    </row>
    <row r="686">
      <c r="A686" s="4">
        <f>IF(B686="","",ROW()-1)</f>
      </c>
      <c r="B686" s="5"/>
      <c r="C686" s="2">
        <f>IF(B686="","",IF(C686="",NOW(),C686))</f>
      </c>
    </row>
    <row r="687">
      <c r="A687" s="4">
        <f>IF(B687="","",ROW()-1)</f>
      </c>
      <c r="B687" s="5"/>
      <c r="C687" s="2">
        <f>IF(B687="","",IF(C687="",NOW(),C687))</f>
      </c>
    </row>
    <row r="688">
      <c r="A688" s="4">
        <f>IF(B688="","",ROW()-1)</f>
      </c>
      <c r="B688" s="5"/>
      <c r="C688" s="2">
        <f>IF(B688="","",IF(C688="",NOW(),C688))</f>
      </c>
    </row>
    <row r="689">
      <c r="A689" s="4">
        <f>IF(B689="","",ROW()-1)</f>
      </c>
      <c r="B689" s="5"/>
      <c r="C689" s="2">
        <f>IF(B689="","",IF(C689="",NOW(),C689))</f>
      </c>
    </row>
    <row r="690">
      <c r="A690" s="4">
        <f>IF(B690="","",ROW()-1)</f>
      </c>
      <c r="B690" s="5"/>
      <c r="C690" s="2">
        <f>IF(B690="","",IF(C690="",NOW(),C690))</f>
      </c>
    </row>
    <row r="691">
      <c r="A691" s="4">
        <f>IF(B691="","",ROW()-1)</f>
      </c>
      <c r="B691" s="5"/>
      <c r="C691" s="2">
        <f>IF(B691="","",IF(C691="",NOW(),C691))</f>
      </c>
    </row>
    <row r="692">
      <c r="A692" s="4">
        <f>IF(B692="","",ROW()-1)</f>
      </c>
      <c r="B692" s="5"/>
      <c r="C692" s="2">
        <f>IF(B692="","",IF(C692="",NOW(),C692))</f>
      </c>
    </row>
    <row r="693">
      <c r="A693" s="4">
        <f>IF(B693="","",ROW()-1)</f>
      </c>
      <c r="B693" s="5"/>
      <c r="C693" s="2">
        <f>IF(B693="","",IF(C693="",NOW(),C693))</f>
      </c>
    </row>
    <row r="694">
      <c r="A694" s="4">
        <f>IF(B694="","",ROW()-1)</f>
      </c>
      <c r="B694" s="5"/>
      <c r="C694" s="2">
        <f>IF(B694="","",IF(C694="",NOW(),C694))</f>
      </c>
    </row>
    <row r="695">
      <c r="A695" s="4">
        <f>IF(B695="","",ROW()-1)</f>
      </c>
      <c r="B695" s="5"/>
      <c r="C695" s="2">
        <f>IF(B695="","",IF(C695="",NOW(),C695))</f>
      </c>
    </row>
    <row r="696">
      <c r="A696" s="4">
        <f>IF(B696="","",ROW()-1)</f>
      </c>
      <c r="B696" s="5"/>
      <c r="C696" s="2">
        <f>IF(B696="","",IF(C696="",NOW(),C696))</f>
      </c>
    </row>
    <row r="697">
      <c r="A697" s="4">
        <f>IF(B697="","",ROW()-1)</f>
      </c>
      <c r="B697" s="5"/>
      <c r="C697" s="2">
        <f>IF(B697="","",IF(C697="",NOW(),C697))</f>
      </c>
    </row>
    <row r="698">
      <c r="A698" s="4">
        <f>IF(B698="","",ROW()-1)</f>
      </c>
      <c r="B698" s="5"/>
      <c r="C698" s="2">
        <f>IF(B698="","",IF(C698="",NOW(),C698))</f>
      </c>
    </row>
    <row r="699">
      <c r="A699" s="4">
        <f>IF(B699="","",ROW()-1)</f>
      </c>
      <c r="B699" s="5"/>
      <c r="C699" s="2">
        <f>IF(B699="","",IF(C699="",NOW(),C699))</f>
      </c>
    </row>
    <row r="700">
      <c r="A700" s="4">
        <f>IF(B700="","",ROW()-1)</f>
      </c>
      <c r="B700" s="5"/>
      <c r="C700" s="2">
        <f>IF(B700="","",IF(C700="",NOW(),C700))</f>
      </c>
    </row>
    <row r="701">
      <c r="A701" s="4">
        <f>IF(B701="","",ROW()-1)</f>
      </c>
      <c r="B701" s="5"/>
      <c r="C701" s="2">
        <f>IF(B701="","",IF(C701="",NOW(),C701))</f>
      </c>
    </row>
    <row r="702">
      <c r="A702" s="4">
        <f>IF(B702="","",ROW()-1)</f>
      </c>
      <c r="B702" s="5"/>
      <c r="C702" s="2">
        <f>IF(B702="","",IF(C702="",NOW(),C702))</f>
      </c>
    </row>
    <row r="703">
      <c r="A703" s="4">
        <f>IF(B703="","",ROW()-1)</f>
      </c>
      <c r="B703" s="5"/>
      <c r="C703" s="2">
        <f>IF(B703="","",IF(C703="",NOW(),C703))</f>
      </c>
    </row>
    <row r="704">
      <c r="A704" s="4">
        <f>IF(B704="","",ROW()-1)</f>
      </c>
      <c r="B704" s="5"/>
      <c r="C704" s="2">
        <f>IF(B704="","",IF(C704="",NOW(),C704))</f>
      </c>
    </row>
    <row r="705">
      <c r="A705" s="4">
        <f>IF(B705="","",ROW()-1)</f>
      </c>
      <c r="B705" s="5"/>
      <c r="C705" s="2">
        <f>IF(B705="","",IF(C705="",NOW(),C705))</f>
      </c>
    </row>
    <row r="706">
      <c r="A706" s="4">
        <f>IF(B706="","",ROW()-1)</f>
      </c>
      <c r="B706" s="5"/>
      <c r="C706" s="2">
        <f>IF(B706="","",IF(C706="",NOW(),C706))</f>
      </c>
    </row>
    <row r="707">
      <c r="A707" s="4">
        <f>IF(B707="","",ROW()-1)</f>
      </c>
      <c r="B707" s="5"/>
      <c r="C707" s="2">
        <f>IF(B707="","",IF(C707="",NOW(),C707))</f>
      </c>
    </row>
    <row r="708">
      <c r="A708" s="4">
        <f>IF(B708="","",ROW()-1)</f>
      </c>
      <c r="B708" s="5"/>
      <c r="C708" s="2">
        <f>IF(B708="","",IF(C708="",NOW(),C708))</f>
      </c>
    </row>
    <row r="709">
      <c r="A709" s="4">
        <f>IF(B709="","",ROW()-1)</f>
      </c>
      <c r="B709" s="5"/>
      <c r="C709" s="2">
        <f>IF(B709="","",IF(C709="",NOW(),C709))</f>
      </c>
    </row>
    <row r="710">
      <c r="A710" s="4">
        <f>IF(B710="","",ROW()-1)</f>
      </c>
      <c r="B710" s="5"/>
      <c r="C710" s="2">
        <f>IF(B710="","",IF(C710="",NOW(),C710))</f>
      </c>
    </row>
    <row r="711">
      <c r="A711" s="4">
        <f>IF(B711="","",ROW()-1)</f>
      </c>
      <c r="B711" s="5"/>
      <c r="C711" s="2">
        <f>IF(B711="","",IF(C711="",NOW(),C711))</f>
      </c>
    </row>
    <row r="712">
      <c r="A712" s="4">
        <f>IF(B712="","",ROW()-1)</f>
      </c>
      <c r="B712" s="5"/>
      <c r="C712" s="2">
        <f>IF(B712="","",IF(C712="",NOW(),C712))</f>
      </c>
    </row>
    <row r="713">
      <c r="A713" s="4">
        <f>IF(B713="","",ROW()-1)</f>
      </c>
      <c r="B713" s="5"/>
      <c r="C713" s="2">
        <f>IF(B713="","",IF(C713="",NOW(),C713))</f>
      </c>
    </row>
    <row r="714">
      <c r="A714" s="4">
        <f>IF(B714="","",ROW()-1)</f>
      </c>
      <c r="B714" s="5"/>
      <c r="C714" s="2">
        <f>IF(B714="","",IF(C714="",NOW(),C714))</f>
      </c>
    </row>
    <row r="715">
      <c r="A715" s="4">
        <f>IF(B715="","",ROW()-1)</f>
      </c>
      <c r="B715" s="5"/>
      <c r="C715" s="2">
        <f>IF(B715="","",IF(C715="",NOW(),C715))</f>
      </c>
    </row>
    <row r="716">
      <c r="A716" s="4">
        <f>IF(B716="","",ROW()-1)</f>
      </c>
      <c r="B716" s="5"/>
      <c r="C716" s="2">
        <f>IF(B716="","",IF(C716="",NOW(),C716))</f>
      </c>
    </row>
    <row r="717">
      <c r="A717" s="4">
        <f>IF(B717="","",ROW()-1)</f>
      </c>
      <c r="B717" s="5"/>
      <c r="C717" s="2">
        <f>IF(B717="","",IF(C717="",NOW(),C717))</f>
      </c>
    </row>
    <row r="718">
      <c r="A718" s="4">
        <f>IF(B718="","",ROW()-1)</f>
      </c>
      <c r="B718" s="5"/>
      <c r="C718" s="2">
        <f>IF(B718="","",IF(C718="",NOW(),C718))</f>
      </c>
    </row>
    <row r="719">
      <c r="A719" s="4">
        <f>IF(B719="","",ROW()-1)</f>
      </c>
      <c r="B719" s="5"/>
      <c r="C719" s="2">
        <f>IF(B719="","",IF(C719="",NOW(),C719))</f>
      </c>
    </row>
    <row r="720">
      <c r="A720" s="4">
        <f>IF(B720="","",ROW()-1)</f>
      </c>
      <c r="B720" s="5"/>
      <c r="C720" s="2">
        <f>IF(B720="","",IF(C720="",NOW(),C720))</f>
      </c>
    </row>
    <row r="721">
      <c r="A721" s="4">
        <f>IF(B721="","",ROW()-1)</f>
      </c>
      <c r="B721" s="5"/>
      <c r="C721" s="2">
        <f>IF(B721="","",IF(C721="",NOW(),C721))</f>
      </c>
    </row>
    <row r="722">
      <c r="A722" s="4">
        <f>IF(B722="","",ROW()-1)</f>
      </c>
      <c r="B722" s="5"/>
      <c r="C722" s="2">
        <f>IF(B722="","",IF(C722="",NOW(),C722))</f>
      </c>
    </row>
    <row r="723">
      <c r="A723" s="4">
        <f>IF(B723="","",ROW()-1)</f>
      </c>
      <c r="B723" s="5"/>
      <c r="C723" s="2">
        <f>IF(B723="","",IF(C723="",NOW(),C723))</f>
      </c>
    </row>
    <row r="724">
      <c r="A724" s="4">
        <f>IF(B724="","",ROW()-1)</f>
      </c>
      <c r="B724" s="5"/>
      <c r="C724" s="2">
        <f>IF(B724="","",IF(C724="",NOW(),C724))</f>
      </c>
    </row>
    <row r="725">
      <c r="A725" s="4">
        <f>IF(B725="","",ROW()-1)</f>
      </c>
      <c r="B725" s="5"/>
      <c r="C725" s="2">
        <f>IF(B725="","",IF(C725="",NOW(),C725))</f>
      </c>
    </row>
    <row r="726">
      <c r="A726" s="4">
        <f>IF(B726="","",ROW()-1)</f>
      </c>
      <c r="B726" s="5"/>
      <c r="C726" s="2">
        <f>IF(B726="","",IF(C726="",NOW(),C726))</f>
      </c>
    </row>
    <row r="727">
      <c r="A727" s="4">
        <f>IF(B727="","",ROW()-1)</f>
      </c>
      <c r="B727" s="5"/>
      <c r="C727" s="2">
        <f>IF(B727="","",IF(C727="",NOW(),C727))</f>
      </c>
    </row>
    <row r="728">
      <c r="A728" s="4">
        <f>IF(B728="","",ROW()-1)</f>
      </c>
      <c r="B728" s="5"/>
      <c r="C728" s="2">
        <f>IF(B728="","",IF(C728="",NOW(),C728))</f>
      </c>
    </row>
    <row r="729">
      <c r="A729" s="4">
        <f>IF(B729="","",ROW()-1)</f>
      </c>
      <c r="B729" s="5"/>
      <c r="C729" s="2">
        <f>IF(B729="","",IF(C729="",NOW(),C729))</f>
      </c>
    </row>
    <row r="730">
      <c r="A730" s="4">
        <f>IF(B730="","",ROW()-1)</f>
      </c>
      <c r="B730" s="5"/>
      <c r="C730" s="2">
        <f>IF(B730="","",IF(C730="",NOW(),C730))</f>
      </c>
    </row>
    <row r="731">
      <c r="A731" s="4">
        <f>IF(B731="","",ROW()-1)</f>
      </c>
      <c r="B731" s="5"/>
      <c r="C731" s="2">
        <f>IF(B731="","",IF(C731="",NOW(),C731))</f>
      </c>
    </row>
    <row r="732">
      <c r="A732" s="4">
        <f>IF(B732="","",ROW()-1)</f>
      </c>
      <c r="B732" s="5"/>
      <c r="C732" s="2">
        <f>IF(B732="","",IF(C732="",NOW(),C732))</f>
      </c>
    </row>
    <row r="733">
      <c r="A733" s="4">
        <f>IF(B733="","",ROW()-1)</f>
      </c>
      <c r="B733" s="5"/>
      <c r="C733" s="2">
        <f>IF(B733="","",IF(C733="",NOW(),C733))</f>
      </c>
    </row>
    <row r="734">
      <c r="A734" s="4">
        <f>IF(B734="","",ROW()-1)</f>
      </c>
      <c r="B734" s="5"/>
      <c r="C734" s="2">
        <f>IF(B734="","",IF(C734="",NOW(),C734))</f>
      </c>
    </row>
    <row r="735">
      <c r="A735" s="4">
        <f>IF(B735="","",ROW()-1)</f>
      </c>
      <c r="B735" s="5"/>
      <c r="C735" s="2">
        <f>IF(B735="","",IF(C735="",NOW(),C735))</f>
      </c>
    </row>
    <row r="736">
      <c r="A736" s="4">
        <f>IF(B736="","",ROW()-1)</f>
      </c>
      <c r="B736" s="5"/>
      <c r="C736" s="2">
        <f>IF(B736="","",IF(C736="",NOW(),C736))</f>
      </c>
    </row>
    <row r="737">
      <c r="A737" s="4">
        <f>IF(B737="","",ROW()-1)</f>
      </c>
      <c r="B737" s="5"/>
      <c r="C737" s="2">
        <f>IF(B737="","",IF(C737="",NOW(),C737))</f>
      </c>
    </row>
    <row r="738">
      <c r="A738" s="4">
        <f>IF(B738="","",ROW()-1)</f>
      </c>
      <c r="B738" s="5"/>
      <c r="C738" s="2">
        <f>IF(B738="","",IF(C738="",NOW(),C738))</f>
      </c>
    </row>
    <row r="739">
      <c r="A739" s="4">
        <f>IF(B739="","",ROW()-1)</f>
      </c>
      <c r="B739" s="5"/>
      <c r="C739" s="2">
        <f>IF(B739="","",IF(C739="",NOW(),C739))</f>
      </c>
    </row>
    <row r="740">
      <c r="A740" s="4">
        <f>IF(B740="","",ROW()-1)</f>
      </c>
      <c r="B740" s="5"/>
      <c r="C740" s="2">
        <f>IF(B740="","",IF(C740="",NOW(),C740))</f>
      </c>
    </row>
    <row r="741">
      <c r="A741" s="4">
        <f>IF(B741="","",ROW()-1)</f>
      </c>
      <c r="B741" s="5"/>
      <c r="C741" s="2">
        <f>IF(B741="","",IF(C741="",NOW(),C741))</f>
      </c>
    </row>
    <row r="742">
      <c r="A742" s="4">
        <f>IF(B742="","",ROW()-1)</f>
      </c>
      <c r="B742" s="5"/>
      <c r="C742" s="2">
        <f>IF(B742="","",IF(C742="",NOW(),C742))</f>
      </c>
    </row>
    <row r="743">
      <c r="A743" s="4">
        <f>IF(B743="","",ROW()-1)</f>
      </c>
      <c r="B743" s="5"/>
      <c r="C743" s="2">
        <f>IF(B743="","",IF(C743="",NOW(),C743))</f>
      </c>
    </row>
    <row r="744">
      <c r="A744" s="4">
        <f>IF(B744="","",ROW()-1)</f>
      </c>
      <c r="B744" s="5"/>
      <c r="C744" s="2">
        <f>IF(B744="","",IF(C744="",NOW(),C744))</f>
      </c>
    </row>
    <row r="745">
      <c r="A745" s="4">
        <f>IF(B745="","",ROW()-1)</f>
      </c>
      <c r="B745" s="5"/>
      <c r="C745" s="2">
        <f>IF(B745="","",IF(C745="",NOW(),C745))</f>
      </c>
    </row>
    <row r="746">
      <c r="A746" s="4">
        <f>IF(B746="","",ROW()-1)</f>
      </c>
      <c r="B746" s="5"/>
      <c r="C746" s="2">
        <f>IF(B746="","",IF(C746="",NOW(),C746))</f>
      </c>
    </row>
    <row r="747">
      <c r="A747" s="4">
        <f>IF(B747="","",ROW()-1)</f>
      </c>
      <c r="B747" s="5"/>
      <c r="C747" s="2">
        <f>IF(B747="","",IF(C747="",NOW(),C747))</f>
      </c>
    </row>
    <row r="748">
      <c r="A748" s="4">
        <f>IF(B748="","",ROW()-1)</f>
      </c>
      <c r="B748" s="5"/>
      <c r="C748" s="2">
        <f>IF(B748="","",IF(C748="",NOW(),C748))</f>
      </c>
    </row>
    <row r="749">
      <c r="A749" s="4">
        <f>IF(B749="","",ROW()-1)</f>
      </c>
      <c r="B749" s="5"/>
      <c r="C749" s="2">
        <f>IF(B749="","",IF(C749="",NOW(),C749))</f>
      </c>
    </row>
    <row r="750">
      <c r="A750" s="4">
        <f>IF(B750="","",ROW()-1)</f>
      </c>
      <c r="B750" s="5"/>
      <c r="C750" s="2">
        <f>IF(B750="","",IF(C750="",NOW(),C750))</f>
      </c>
    </row>
    <row r="751">
      <c r="A751" s="4">
        <f>IF(B751="","",ROW()-1)</f>
      </c>
      <c r="B751" s="5"/>
      <c r="C751" s="2">
        <f>IF(B751="","",IF(C751="",NOW(),C751))</f>
      </c>
    </row>
    <row r="752">
      <c r="A752" s="4">
        <f>IF(B752="","",ROW()-1)</f>
      </c>
      <c r="B752" s="5"/>
      <c r="C752" s="2">
        <f>IF(B752="","",IF(C752="",NOW(),C752))</f>
      </c>
    </row>
    <row r="753">
      <c r="A753" s="4">
        <f>IF(B753="","",ROW()-1)</f>
      </c>
      <c r="B753" s="5"/>
      <c r="C753" s="2">
        <f>IF(B753="","",IF(C753="",NOW(),C753))</f>
      </c>
    </row>
    <row r="754">
      <c r="A754" s="4">
        <f>IF(B754="","",ROW()-1)</f>
      </c>
      <c r="B754" s="5"/>
      <c r="C754" s="2">
        <f>IF(B754="","",IF(C754="",NOW(),C754))</f>
      </c>
    </row>
    <row r="755">
      <c r="A755" s="4">
        <f>IF(B755="","",ROW()-1)</f>
      </c>
      <c r="B755" s="5"/>
      <c r="C755" s="2">
        <f>IF(B755="","",IF(C755="",NOW(),C755))</f>
      </c>
    </row>
    <row r="756">
      <c r="A756" s="4">
        <f>IF(B756="","",ROW()-1)</f>
      </c>
      <c r="B756" s="5"/>
      <c r="C756" s="2">
        <f>IF(B756="","",IF(C756="",NOW(),C756))</f>
      </c>
    </row>
    <row r="757">
      <c r="A757" s="4">
        <f>IF(B757="","",ROW()-1)</f>
      </c>
      <c r="B757" s="5"/>
      <c r="C757" s="2">
        <f>IF(B757="","",IF(C757="",NOW(),C757))</f>
      </c>
    </row>
    <row r="758">
      <c r="A758" s="4">
        <f>IF(B758="","",ROW()-1)</f>
      </c>
      <c r="B758" s="5"/>
      <c r="C758" s="2">
        <f>IF(B758="","",IF(C758="",NOW(),C758))</f>
      </c>
    </row>
    <row r="759">
      <c r="A759" s="4">
        <f>IF(B759="","",ROW()-1)</f>
      </c>
      <c r="B759" s="5"/>
      <c r="C759" s="2">
        <f>IF(B759="","",IF(C759="",NOW(),C759))</f>
      </c>
    </row>
    <row r="760">
      <c r="A760" s="4">
        <f>IF(B760="","",ROW()-1)</f>
      </c>
      <c r="B760" s="5"/>
      <c r="C760" s="2">
        <f>IF(B760="","",IF(C760="",NOW(),C760))</f>
      </c>
    </row>
    <row r="761">
      <c r="A761" s="4">
        <f>IF(B761="","",ROW()-1)</f>
      </c>
      <c r="B761" s="5"/>
      <c r="C761" s="2">
        <f>IF(B761="","",IF(C761="",NOW(),C761))</f>
      </c>
    </row>
    <row r="762">
      <c r="A762" s="4">
        <f>IF(B762="","",ROW()-1)</f>
      </c>
      <c r="B762" s="5"/>
      <c r="C762" s="2">
        <f>IF(B762="","",IF(C762="",NOW(),C762))</f>
      </c>
    </row>
    <row r="763">
      <c r="A763" s="4">
        <f>IF(B763="","",ROW()-1)</f>
      </c>
      <c r="B763" s="5"/>
      <c r="C763" s="2">
        <f>IF(B763="","",IF(C763="",NOW(),C763))</f>
      </c>
    </row>
    <row r="764">
      <c r="A764" s="4">
        <f>IF(B764="","",ROW()-1)</f>
      </c>
      <c r="B764" s="5"/>
      <c r="C764" s="2">
        <f>IF(B764="","",IF(C764="",NOW(),C764))</f>
      </c>
    </row>
    <row r="765">
      <c r="A765" s="4">
        <f>IF(B765="","",ROW()-1)</f>
      </c>
      <c r="B765" s="5"/>
      <c r="C765" s="2">
        <f>IF(B765="","",IF(C765="",NOW(),C765))</f>
      </c>
    </row>
    <row r="766">
      <c r="A766" s="4">
        <f>IF(B766="","",ROW()-1)</f>
      </c>
      <c r="B766" s="5"/>
      <c r="C766" s="2">
        <f>IF(B766="","",IF(C766="",NOW(),C766))</f>
      </c>
    </row>
    <row r="767">
      <c r="A767" s="4">
        <f>IF(B767="","",ROW()-1)</f>
      </c>
      <c r="B767" s="5"/>
      <c r="C767" s="2">
        <f>IF(B767="","",IF(C767="",NOW(),C767))</f>
      </c>
    </row>
    <row r="768">
      <c r="A768" s="4">
        <f>IF(B768="","",ROW()-1)</f>
      </c>
      <c r="B768" s="5"/>
      <c r="C768" s="2">
        <f>IF(B768="","",IF(C768="",NOW(),C768))</f>
      </c>
    </row>
    <row r="769">
      <c r="A769" s="4">
        <f>IF(B769="","",ROW()-1)</f>
      </c>
      <c r="B769" s="5"/>
      <c r="C769" s="2">
        <f>IF(B769="","",IF(C769="",NOW(),C769))</f>
      </c>
    </row>
    <row r="770">
      <c r="A770" s="4">
        <f>IF(B770="","",ROW()-1)</f>
      </c>
      <c r="B770" s="5"/>
      <c r="C770" s="2">
        <f>IF(B770="","",IF(C770="",NOW(),C770))</f>
      </c>
    </row>
    <row r="771">
      <c r="A771" s="4">
        <f>IF(B771="","",ROW()-1)</f>
      </c>
      <c r="B771" s="5"/>
      <c r="C771" s="2">
        <f>IF(B771="","",IF(C771="",NOW(),C771))</f>
      </c>
    </row>
    <row r="772">
      <c r="A772" s="4">
        <f>IF(B772="","",ROW()-1)</f>
      </c>
      <c r="B772" s="5"/>
      <c r="C772" s="2">
        <f>IF(B772="","",IF(C772="",NOW(),C772))</f>
      </c>
    </row>
    <row r="773">
      <c r="A773" s="4">
        <f>IF(B773="","",ROW()-1)</f>
      </c>
      <c r="B773" s="5"/>
      <c r="C773" s="2">
        <f>IF(B773="","",IF(C773="",NOW(),C773))</f>
      </c>
    </row>
    <row r="774">
      <c r="A774" s="4">
        <f>IF(B774="","",ROW()-1)</f>
      </c>
      <c r="B774" s="5"/>
      <c r="C774" s="2">
        <f>IF(B774="","",IF(C774="",NOW(),C774))</f>
      </c>
    </row>
    <row r="775">
      <c r="A775" s="4">
        <f>IF(B775="","",ROW()-1)</f>
      </c>
      <c r="B775" s="5"/>
      <c r="C775" s="2">
        <f>IF(B775="","",IF(C775="",NOW(),C775))</f>
      </c>
    </row>
    <row r="776">
      <c r="A776" s="4">
        <f>IF(B776="","",ROW()-1)</f>
      </c>
      <c r="B776" s="5"/>
      <c r="C776" s="2">
        <f>IF(B776="","",IF(C776="",NOW(),C776))</f>
      </c>
    </row>
    <row r="777">
      <c r="A777" s="4">
        <f>IF(B777="","",ROW()-1)</f>
      </c>
      <c r="B777" s="5"/>
      <c r="C777" s="2">
        <f>IF(B777="","",IF(C777="",NOW(),C777))</f>
      </c>
    </row>
    <row r="778">
      <c r="A778" s="4">
        <f>IF(B778="","",ROW()-1)</f>
      </c>
      <c r="B778" s="5"/>
      <c r="C778" s="2">
        <f>IF(B778="","",IF(C778="",NOW(),C778))</f>
      </c>
    </row>
    <row r="779">
      <c r="A779" s="4">
        <f>IF(B779="","",ROW()-1)</f>
      </c>
      <c r="B779" s="5"/>
      <c r="C779" s="2">
        <f>IF(B779="","",IF(C779="",NOW(),C779))</f>
      </c>
    </row>
    <row r="780">
      <c r="A780" s="4">
        <f>IF(B780="","",ROW()-1)</f>
      </c>
      <c r="B780" s="5"/>
      <c r="C780" s="2">
        <f>IF(B780="","",IF(C780="",NOW(),C780))</f>
      </c>
    </row>
    <row r="781">
      <c r="A781" s="4">
        <f>IF(B781="","",ROW()-1)</f>
      </c>
      <c r="B781" s="5"/>
      <c r="C781" s="2">
        <f>IF(B781="","",IF(C781="",NOW(),C781))</f>
      </c>
    </row>
    <row r="782">
      <c r="A782" s="4">
        <f>IF(B782="","",ROW()-1)</f>
      </c>
      <c r="B782" s="5"/>
      <c r="C782" s="2">
        <f>IF(B782="","",IF(C782="",NOW(),C782))</f>
      </c>
    </row>
    <row r="783">
      <c r="A783" s="4">
        <f>IF(B783="","",ROW()-1)</f>
      </c>
      <c r="B783" s="5"/>
      <c r="C783" s="2">
        <f>IF(B783="","",IF(C783="",NOW(),C783))</f>
      </c>
    </row>
    <row r="784">
      <c r="A784" s="4">
        <f>IF(B784="","",ROW()-1)</f>
      </c>
      <c r="B784" s="5"/>
      <c r="C784" s="2">
        <f>IF(B784="","",IF(C784="",NOW(),C784))</f>
      </c>
    </row>
    <row r="785">
      <c r="A785" s="4">
        <f>IF(B785="","",ROW()-1)</f>
      </c>
      <c r="B785" s="5"/>
      <c r="C785" s="2">
        <f>IF(B785="","",IF(C785="",NOW(),C785))</f>
      </c>
    </row>
    <row r="786">
      <c r="A786" s="4">
        <f>IF(B786="","",ROW()-1)</f>
      </c>
      <c r="B786" s="5"/>
      <c r="C786" s="2">
        <f>IF(B786="","",IF(C786="",NOW(),C786))</f>
      </c>
    </row>
    <row r="787">
      <c r="A787" s="4">
        <f>IF(B787="","",ROW()-1)</f>
      </c>
      <c r="B787" s="5"/>
      <c r="C787" s="2">
        <f>IF(B787="","",IF(C787="",NOW(),C787))</f>
      </c>
    </row>
    <row r="788">
      <c r="A788" s="4">
        <f>IF(B788="","",ROW()-1)</f>
      </c>
      <c r="B788" s="5"/>
      <c r="C788" s="2">
        <f>IF(B788="","",IF(C788="",NOW(),C788))</f>
      </c>
    </row>
    <row r="789">
      <c r="A789" s="4">
        <f>IF(B789="","",ROW()-1)</f>
      </c>
      <c r="B789" s="5"/>
      <c r="C789" s="2">
        <f>IF(B789="","",IF(C789="",NOW(),C789))</f>
      </c>
    </row>
    <row r="790">
      <c r="A790" s="4">
        <f>IF(B790="","",ROW()-1)</f>
      </c>
      <c r="B790" s="5"/>
      <c r="C790" s="2">
        <f>IF(B790="","",IF(C790="",NOW(),C790))</f>
      </c>
    </row>
    <row r="791">
      <c r="A791" s="4">
        <f>IF(B791="","",ROW()-1)</f>
      </c>
      <c r="B791" s="5"/>
      <c r="C791" s="2">
        <f>IF(B791="","",IF(C791="",NOW(),C791))</f>
      </c>
    </row>
    <row r="792">
      <c r="A792" s="4">
        <f>IF(B792="","",ROW()-1)</f>
      </c>
      <c r="B792" s="5"/>
      <c r="C792" s="2">
        <f>IF(B792="","",IF(C792="",NOW(),C792))</f>
      </c>
    </row>
    <row r="793">
      <c r="A793" s="4">
        <f>IF(B793="","",ROW()-1)</f>
      </c>
      <c r="B793" s="5"/>
      <c r="C793" s="2">
        <f>IF(B793="","",IF(C793="",NOW(),C793))</f>
      </c>
    </row>
    <row r="794">
      <c r="A794" s="4">
        <f>IF(B794="","",ROW()-1)</f>
      </c>
      <c r="B794" s="5"/>
      <c r="C794" s="2">
        <f>IF(B794="","",IF(C794="",NOW(),C794))</f>
      </c>
    </row>
    <row r="795">
      <c r="A795" s="4">
        <f>IF(B795="","",ROW()-1)</f>
      </c>
      <c r="B795" s="5"/>
      <c r="C795" s="2">
        <f>IF(B795="","",IF(C795="",NOW(),C795))</f>
      </c>
    </row>
    <row r="796">
      <c r="A796" s="4">
        <f>IF(B796="","",ROW()-1)</f>
      </c>
      <c r="B796" s="5"/>
      <c r="C796" s="2">
        <f>IF(B796="","",IF(C796="",NOW(),C796))</f>
      </c>
    </row>
    <row r="797">
      <c r="A797" s="4">
        <f>IF(B797="","",ROW()-1)</f>
      </c>
      <c r="B797" s="5"/>
      <c r="C797" s="2">
        <f>IF(B797="","",IF(C797="",NOW(),C797))</f>
      </c>
    </row>
    <row r="798">
      <c r="A798" s="4">
        <f>IF(B798="","",ROW()-1)</f>
      </c>
      <c r="B798" s="5"/>
      <c r="C798" s="2">
        <f>IF(B798="","",IF(C798="",NOW(),C798))</f>
      </c>
    </row>
    <row r="799">
      <c r="A799" s="4">
        <f>IF(B799="","",ROW()-1)</f>
      </c>
      <c r="B799" s="5"/>
      <c r="C799" s="2">
        <f>IF(B799="","",IF(C799="",NOW(),C799))</f>
      </c>
    </row>
    <row r="800">
      <c r="A800" s="4">
        <f>IF(B800="","",ROW()-1)</f>
      </c>
      <c r="B800" s="5"/>
      <c r="C800" s="2">
        <f>IF(B800="","",IF(C800="",NOW(),C800))</f>
      </c>
    </row>
    <row r="801">
      <c r="A801" s="4">
        <f>IF(B801="","",ROW()-1)</f>
      </c>
      <c r="B801" s="5"/>
      <c r="C801" s="2">
        <f>IF(B801="","",IF(C801="",NOW(),C801))</f>
      </c>
    </row>
    <row r="802">
      <c r="A802" s="4">
        <f>IF(B802="","",ROW()-1)</f>
      </c>
      <c r="B802" s="5"/>
      <c r="C802" s="2">
        <f>IF(B802="","",IF(C802="",NOW(),C802))</f>
      </c>
    </row>
    <row r="803">
      <c r="A803" s="4">
        <f>IF(B803="","",ROW()-1)</f>
      </c>
      <c r="B803" s="5"/>
      <c r="C803" s="2">
        <f>IF(B803="","",IF(C803="",NOW(),C803))</f>
      </c>
    </row>
    <row r="804">
      <c r="A804" s="4">
        <f>IF(B804="","",ROW()-1)</f>
      </c>
      <c r="B804" s="5"/>
      <c r="C804" s="2">
        <f>IF(B804="","",IF(C804="",NOW(),C804))</f>
      </c>
    </row>
    <row r="805">
      <c r="A805" s="4">
        <f>IF(B805="","",ROW()-1)</f>
      </c>
      <c r="B805" s="5"/>
      <c r="C805" s="2">
        <f>IF(B805="","",IF(C805="",NOW(),C805))</f>
      </c>
    </row>
    <row r="806">
      <c r="A806" s="4">
        <f>IF(B806="","",ROW()-1)</f>
      </c>
      <c r="B806" s="5"/>
      <c r="C806" s="2">
        <f>IF(B806="","",IF(C806="",NOW(),C806))</f>
      </c>
    </row>
    <row r="807">
      <c r="A807" s="4">
        <f>IF(B807="","",ROW()-1)</f>
      </c>
      <c r="B807" s="5"/>
      <c r="C807" s="2">
        <f>IF(B807="","",IF(C807="",NOW(),C807))</f>
      </c>
    </row>
    <row r="808">
      <c r="A808" s="4">
        <f>IF(B808="","",ROW()-1)</f>
      </c>
      <c r="B808" s="5"/>
      <c r="C808" s="2">
        <f>IF(B808="","",IF(C808="",NOW(),C808))</f>
      </c>
    </row>
    <row r="809">
      <c r="A809" s="4">
        <f>IF(B809="","",ROW()-1)</f>
      </c>
      <c r="B809" s="5"/>
      <c r="C809" s="2">
        <f>IF(B809="","",IF(C809="",NOW(),C809))</f>
      </c>
    </row>
    <row r="810">
      <c r="A810" s="4">
        <f>IF(B810="","",ROW()-1)</f>
      </c>
      <c r="B810" s="5"/>
      <c r="C810" s="2">
        <f>IF(B810="","",IF(C810="",NOW(),C810))</f>
      </c>
    </row>
    <row r="811">
      <c r="A811" s="4">
        <f>IF(B811="","",ROW()-1)</f>
      </c>
      <c r="B811" s="5"/>
      <c r="C811" s="2">
        <f>IF(B811="","",IF(C811="",NOW(),C811))</f>
      </c>
    </row>
    <row r="812">
      <c r="A812" s="4">
        <f>IF(B812="","",ROW()-1)</f>
      </c>
      <c r="B812" s="5"/>
      <c r="C812" s="2">
        <f>IF(B812="","",IF(C812="",NOW(),C812))</f>
      </c>
    </row>
    <row r="813">
      <c r="A813" s="4">
        <f>IF(B813="","",ROW()-1)</f>
      </c>
      <c r="B813" s="5"/>
      <c r="C813" s="2">
        <f>IF(B813="","",IF(C813="",NOW(),C813))</f>
      </c>
    </row>
    <row r="814">
      <c r="A814" s="4">
        <f>IF(B814="","",ROW()-1)</f>
      </c>
      <c r="B814" s="5"/>
      <c r="C814" s="2">
        <f>IF(B814="","",IF(C814="",NOW(),C814))</f>
      </c>
    </row>
    <row r="815">
      <c r="A815" s="4">
        <f>IF(B815="","",ROW()-1)</f>
      </c>
      <c r="B815" s="5"/>
      <c r="C815" s="2">
        <f>IF(B815="","",IF(C815="",NOW(),C815))</f>
      </c>
    </row>
    <row r="816">
      <c r="A816" s="4">
        <f>IF(B816="","",ROW()-1)</f>
      </c>
      <c r="B816" s="5"/>
      <c r="C816" s="2">
        <f>IF(B816="","",IF(C816="",NOW(),C816))</f>
      </c>
    </row>
    <row r="817">
      <c r="A817" s="4">
        <f>IF(B817="","",ROW()-1)</f>
      </c>
      <c r="B817" s="5"/>
      <c r="C817" s="2">
        <f>IF(B817="","",IF(C817="",NOW(),C817))</f>
      </c>
    </row>
    <row r="818">
      <c r="A818" s="4">
        <f>IF(B818="","",ROW()-1)</f>
      </c>
      <c r="B818" s="5"/>
      <c r="C818" s="2">
        <f>IF(B818="","",IF(C818="",NOW(),C818))</f>
      </c>
    </row>
    <row r="819">
      <c r="A819" s="4">
        <f>IF(B819="","",ROW()-1)</f>
      </c>
      <c r="B819" s="5"/>
      <c r="C819" s="2">
        <f>IF(B819="","",IF(C819="",NOW(),C819))</f>
      </c>
    </row>
    <row r="820">
      <c r="A820" s="4">
        <f>IF(B820="","",ROW()-1)</f>
      </c>
      <c r="B820" s="5"/>
      <c r="C820" s="2">
        <f>IF(B820="","",IF(C820="",NOW(),C820))</f>
      </c>
    </row>
    <row r="821">
      <c r="A821" s="4">
        <f>IF(B821="","",ROW()-1)</f>
      </c>
      <c r="B821" s="5"/>
      <c r="C821" s="2">
        <f>IF(B821="","",IF(C821="",NOW(),C821))</f>
      </c>
    </row>
    <row r="822">
      <c r="A822" s="4">
        <f>IF(B822="","",ROW()-1)</f>
      </c>
      <c r="B822" s="5"/>
      <c r="C822" s="2">
        <f>IF(B822="","",IF(C822="",NOW(),C822))</f>
      </c>
    </row>
    <row r="823">
      <c r="A823" s="4">
        <f>IF(B823="","",ROW()-1)</f>
      </c>
      <c r="B823" s="5"/>
      <c r="C823" s="2">
        <f>IF(B823="","",IF(C823="",NOW(),C823))</f>
      </c>
    </row>
    <row r="824">
      <c r="A824" s="4">
        <f>IF(B824="","",ROW()-1)</f>
      </c>
      <c r="B824" s="5"/>
      <c r="C824" s="2">
        <f>IF(B824="","",IF(C824="",NOW(),C824))</f>
      </c>
    </row>
    <row r="825">
      <c r="A825" s="4">
        <f>IF(B825="","",ROW()-1)</f>
      </c>
      <c r="B825" s="5"/>
      <c r="C825" s="2">
        <f>IF(B825="","",IF(C825="",NOW(),C825))</f>
      </c>
    </row>
    <row r="826">
      <c r="A826" s="4">
        <f>IF(B826="","",ROW()-1)</f>
      </c>
      <c r="B826" s="5"/>
      <c r="C826" s="2">
        <f>IF(B826="","",IF(C826="",NOW(),C826))</f>
      </c>
    </row>
    <row r="827">
      <c r="A827" s="4">
        <f>IF(B827="","",ROW()-1)</f>
      </c>
      <c r="B827" s="5"/>
      <c r="C827" s="2">
        <f>IF(B827="","",IF(C827="",NOW(),C827))</f>
      </c>
    </row>
    <row r="828">
      <c r="A828" s="4">
        <f>IF(B828="","",ROW()-1)</f>
      </c>
      <c r="B828" s="5"/>
      <c r="C828" s="2">
        <f>IF(B828="","",IF(C828="",NOW(),C828))</f>
      </c>
    </row>
    <row r="829">
      <c r="A829" s="4">
        <f>IF(B829="","",ROW()-1)</f>
      </c>
      <c r="B829" s="5"/>
      <c r="C829" s="2">
        <f>IF(B829="","",IF(C829="",NOW(),C829))</f>
      </c>
    </row>
    <row r="830">
      <c r="A830" s="4">
        <f>IF(B830="","",ROW()-1)</f>
      </c>
      <c r="B830" s="5"/>
      <c r="C830" s="2">
        <f>IF(B830="","",IF(C830="",NOW(),C830))</f>
      </c>
    </row>
    <row r="831">
      <c r="A831" s="4">
        <f>IF(B831="","",ROW()-1)</f>
      </c>
      <c r="B831" s="5"/>
      <c r="C831" s="2">
        <f>IF(B831="","",IF(C831="",NOW(),C831))</f>
      </c>
    </row>
    <row r="832">
      <c r="A832" s="4">
        <f>IF(B832="","",ROW()-1)</f>
      </c>
      <c r="B832" s="5"/>
      <c r="C832" s="2">
        <f>IF(B832="","",IF(C832="",NOW(),C832))</f>
      </c>
    </row>
    <row r="833">
      <c r="A833" s="4">
        <f>IF(B833="","",ROW()-1)</f>
      </c>
      <c r="B833" s="5"/>
      <c r="C833" s="2">
        <f>IF(B833="","",IF(C833="",NOW(),C833))</f>
      </c>
    </row>
    <row r="834">
      <c r="A834" s="4">
        <f>IF(B834="","",ROW()-1)</f>
      </c>
      <c r="B834" s="5"/>
      <c r="C834" s="2">
        <f>IF(B834="","",IF(C834="",NOW(),C834))</f>
      </c>
    </row>
    <row r="835">
      <c r="A835" s="4">
        <f>IF(B835="","",ROW()-1)</f>
      </c>
      <c r="B835" s="5"/>
      <c r="C835" s="2">
        <f>IF(B835="","",IF(C835="",NOW(),C835))</f>
      </c>
    </row>
    <row r="836">
      <c r="A836" s="4">
        <f>IF(B836="","",ROW()-1)</f>
      </c>
      <c r="B836" s="5"/>
      <c r="C836" s="2">
        <f>IF(B836="","",IF(C836="",NOW(),C836))</f>
      </c>
    </row>
    <row r="837">
      <c r="A837" s="4">
        <f>IF(B837="","",ROW()-1)</f>
      </c>
      <c r="B837" s="5"/>
      <c r="C837" s="2">
        <f>IF(B837="","",IF(C837="",NOW(),C837))</f>
      </c>
    </row>
    <row r="838">
      <c r="A838" s="4">
        <f>IF(B838="","",ROW()-1)</f>
      </c>
      <c r="B838" s="5"/>
      <c r="C838" s="2">
        <f>IF(B838="","",IF(C838="",NOW(),C838))</f>
      </c>
    </row>
    <row r="839">
      <c r="A839" s="4">
        <f>IF(B839="","",ROW()-1)</f>
      </c>
      <c r="B839" s="5"/>
      <c r="C839" s="2">
        <f>IF(B839="","",IF(C839="",NOW(),C839))</f>
      </c>
    </row>
    <row r="840">
      <c r="A840" s="4">
        <f>IF(B840="","",ROW()-1)</f>
      </c>
      <c r="B840" s="5"/>
      <c r="C840" s="2">
        <f>IF(B840="","",IF(C840="",NOW(),C840))</f>
      </c>
    </row>
    <row r="841">
      <c r="A841" s="4">
        <f>IF(B841="","",ROW()-1)</f>
      </c>
      <c r="B841" s="5"/>
      <c r="C841" s="2">
        <f>IF(B841="","",IF(C841="",NOW(),C841))</f>
      </c>
    </row>
    <row r="842">
      <c r="A842" s="4">
        <f>IF(B842="","",ROW()-1)</f>
      </c>
      <c r="B842" s="5"/>
      <c r="C842" s="2">
        <f>IF(B842="","",IF(C842="",NOW(),C842))</f>
      </c>
    </row>
    <row r="843">
      <c r="A843" s="4">
        <f>IF(B843="","",ROW()-1)</f>
      </c>
      <c r="B843" s="5"/>
      <c r="C843" s="2">
        <f>IF(B843="","",IF(C843="",NOW(),C843))</f>
      </c>
    </row>
    <row r="844">
      <c r="A844" s="4">
        <f>IF(B844="","",ROW()-1)</f>
      </c>
      <c r="B844" s="5"/>
      <c r="C844" s="2">
        <f>IF(B844="","",IF(C844="",NOW(),C844))</f>
      </c>
    </row>
    <row r="845">
      <c r="A845" s="4">
        <f>IF(B845="","",ROW()-1)</f>
      </c>
      <c r="B845" s="5"/>
      <c r="C845" s="2">
        <f>IF(B845="","",IF(C845="",NOW(),C845))</f>
      </c>
    </row>
    <row r="846">
      <c r="A846" s="4">
        <f>IF(B846="","",ROW()-1)</f>
      </c>
      <c r="B846" s="5"/>
      <c r="C846" s="2">
        <f>IF(B846="","",IF(C846="",NOW(),C846))</f>
      </c>
    </row>
    <row r="847">
      <c r="A847" s="4">
        <f>IF(B847="","",ROW()-1)</f>
      </c>
      <c r="B847" s="5"/>
      <c r="C847" s="2">
        <f>IF(B847="","",IF(C847="",NOW(),C847))</f>
      </c>
    </row>
    <row r="848">
      <c r="A848" s="4">
        <f>IF(B848="","",ROW()-1)</f>
      </c>
      <c r="B848" s="5"/>
      <c r="C848" s="2">
        <f>IF(B848="","",IF(C848="",NOW(),C848))</f>
      </c>
    </row>
    <row r="849">
      <c r="A849" s="4">
        <f>IF(B849="","",ROW()-1)</f>
      </c>
      <c r="B849" s="5"/>
      <c r="C849" s="2">
        <f>IF(B849="","",IF(C849="",NOW(),C849))</f>
      </c>
    </row>
    <row r="850">
      <c r="A850" s="4">
        <f>IF(B850="","",ROW()-1)</f>
      </c>
      <c r="B850" s="5"/>
      <c r="C850" s="2">
        <f>IF(B850="","",IF(C850="",NOW(),C850))</f>
      </c>
    </row>
    <row r="851">
      <c r="A851" s="4">
        <f>IF(B851="","",ROW()-1)</f>
      </c>
      <c r="B851" s="5"/>
      <c r="C851" s="2">
        <f>IF(B851="","",IF(C851="",NOW(),C851))</f>
      </c>
    </row>
    <row r="852">
      <c r="A852" s="4">
        <f>IF(B852="","",ROW()-1)</f>
      </c>
      <c r="B852" s="5"/>
      <c r="C852" s="2">
        <f>IF(B852="","",IF(C852="",NOW(),C852))</f>
      </c>
    </row>
    <row r="853">
      <c r="A853" s="4">
        <f>IF(B853="","",ROW()-1)</f>
      </c>
      <c r="B853" s="5"/>
      <c r="C853" s="2">
        <f>IF(B853="","",IF(C853="",NOW(),C853))</f>
      </c>
    </row>
    <row r="854">
      <c r="A854" s="4">
        <f>IF(B854="","",ROW()-1)</f>
      </c>
      <c r="B854" s="5"/>
      <c r="C854" s="2">
        <f>IF(B854="","",IF(C854="",NOW(),C854))</f>
      </c>
    </row>
    <row r="855">
      <c r="A855" s="4">
        <f>IF(B855="","",ROW()-1)</f>
      </c>
      <c r="B855" s="5"/>
      <c r="C855" s="2">
        <f>IF(B855="","",IF(C855="",NOW(),C855))</f>
      </c>
    </row>
    <row r="856">
      <c r="A856" s="4">
        <f>IF(B856="","",ROW()-1)</f>
      </c>
      <c r="B856" s="5"/>
      <c r="C856" s="2">
        <f>IF(B856="","",IF(C856="",NOW(),C856))</f>
      </c>
    </row>
    <row r="857">
      <c r="A857" s="4">
        <f>IF(B857="","",ROW()-1)</f>
      </c>
      <c r="B857" s="5"/>
      <c r="C857" s="2">
        <f>IF(B857="","",IF(C857="",NOW(),C857))</f>
      </c>
    </row>
    <row r="858">
      <c r="A858" s="4">
        <f>IF(B858="","",ROW()-1)</f>
      </c>
      <c r="B858" s="5"/>
      <c r="C858" s="2">
        <f>IF(B858="","",IF(C858="",NOW(),C858))</f>
      </c>
    </row>
    <row r="859">
      <c r="A859" s="4">
        <f>IF(B859="","",ROW()-1)</f>
      </c>
      <c r="B859" s="5"/>
      <c r="C859" s="2">
        <f>IF(B859="","",IF(C859="",NOW(),C859))</f>
      </c>
    </row>
    <row r="860">
      <c r="A860" s="4">
        <f>IF(B860="","",ROW()-1)</f>
      </c>
      <c r="B860" s="5"/>
      <c r="C860" s="2">
        <f>IF(B860="","",IF(C860="",NOW(),C860))</f>
      </c>
    </row>
    <row r="861">
      <c r="A861" s="4">
        <f>IF(B861="","",ROW()-1)</f>
      </c>
      <c r="B861" s="5"/>
      <c r="C861" s="2">
        <f>IF(B861="","",IF(C861="",NOW(),C861))</f>
      </c>
    </row>
    <row r="862">
      <c r="A862" s="4">
        <f>IF(B862="","",ROW()-1)</f>
      </c>
      <c r="B862" s="5"/>
      <c r="C862" s="2">
        <f>IF(B862="","",IF(C862="",NOW(),C862))</f>
      </c>
    </row>
    <row r="863">
      <c r="A863" s="4">
        <f>IF(B863="","",ROW()-1)</f>
      </c>
      <c r="B863" s="5"/>
      <c r="C863" s="2">
        <f>IF(B863="","",IF(C863="",NOW(),C863))</f>
      </c>
    </row>
    <row r="864">
      <c r="A864" s="4">
        <f>IF(B864="","",ROW()-1)</f>
      </c>
      <c r="B864" s="5"/>
      <c r="C864" s="2">
        <f>IF(B864="","",IF(C864="",NOW(),C864))</f>
      </c>
    </row>
    <row r="865">
      <c r="A865" s="4">
        <f>IF(B865="","",ROW()-1)</f>
      </c>
      <c r="B865" s="5"/>
      <c r="C865" s="2">
        <f>IF(B865="","",IF(C865="",NOW(),C865))</f>
      </c>
    </row>
    <row r="866">
      <c r="A866" s="4">
        <f>IF(B866="","",ROW()-1)</f>
      </c>
      <c r="B866" s="5"/>
      <c r="C866" s="2">
        <f>IF(B866="","",IF(C866="",NOW(),C866))</f>
      </c>
    </row>
    <row r="867">
      <c r="A867" s="4">
        <f>IF(B867="","",ROW()-1)</f>
      </c>
      <c r="B867" s="5"/>
      <c r="C867" s="2">
        <f>IF(B867="","",IF(C867="",NOW(),C867))</f>
      </c>
    </row>
    <row r="868">
      <c r="A868" s="4">
        <f>IF(B868="","",ROW()-1)</f>
      </c>
      <c r="B868" s="5"/>
      <c r="C868" s="2">
        <f>IF(B868="","",IF(C868="",NOW(),C868))</f>
      </c>
    </row>
    <row r="869">
      <c r="A869" s="4">
        <f>IF(B869="","",ROW()-1)</f>
      </c>
      <c r="B869" s="5"/>
      <c r="C869" s="2">
        <f>IF(B869="","",IF(C869="",NOW(),C869))</f>
      </c>
    </row>
    <row r="870">
      <c r="A870" s="4">
        <f>IF(B870="","",ROW()-1)</f>
      </c>
      <c r="B870" s="5"/>
      <c r="C870" s="2">
        <f>IF(B870="","",IF(C870="",NOW(),C870))</f>
      </c>
    </row>
    <row r="871">
      <c r="A871" s="4">
        <f>IF(B871="","",ROW()-1)</f>
      </c>
      <c r="B871" s="5"/>
      <c r="C871" s="2">
        <f>IF(B871="","",IF(C871="",NOW(),C871))</f>
      </c>
    </row>
    <row r="872">
      <c r="A872" s="4">
        <f>IF(B872="","",ROW()-1)</f>
      </c>
      <c r="B872" s="5"/>
      <c r="C872" s="2">
        <f>IF(B872="","",IF(C872="",NOW(),C872))</f>
      </c>
    </row>
    <row r="873">
      <c r="A873" s="4">
        <f>IF(B873="","",ROW()-1)</f>
      </c>
      <c r="B873" s="5"/>
      <c r="C873" s="2">
        <f>IF(B873="","",IF(C873="",NOW(),C873))</f>
      </c>
    </row>
    <row r="874">
      <c r="A874" s="4">
        <f>IF(B874="","",ROW()-1)</f>
      </c>
      <c r="B874" s="5"/>
      <c r="C874" s="2">
        <f>IF(B874="","",IF(C874="",NOW(),C874))</f>
      </c>
    </row>
    <row r="875">
      <c r="A875" s="4">
        <f>IF(B875="","",ROW()-1)</f>
      </c>
      <c r="B875" s="5"/>
      <c r="C875" s="2">
        <f>IF(B875="","",IF(C875="",NOW(),C875))</f>
      </c>
    </row>
    <row r="876">
      <c r="A876" s="4">
        <f>IF(B876="","",ROW()-1)</f>
      </c>
      <c r="B876" s="5"/>
      <c r="C876" s="2">
        <f>IF(B876="","",IF(C876="",NOW(),C876))</f>
      </c>
    </row>
    <row r="877">
      <c r="A877" s="4">
        <f>IF(B877="","",ROW()-1)</f>
      </c>
      <c r="B877" s="5"/>
      <c r="C877" s="2">
        <f>IF(B877="","",IF(C877="",NOW(),C877))</f>
      </c>
    </row>
    <row r="878">
      <c r="A878" s="4">
        <f>IF(B878="","",ROW()-1)</f>
      </c>
      <c r="B878" s="5"/>
      <c r="C878" s="2">
        <f>IF(B878="","",IF(C878="",NOW(),C878))</f>
      </c>
    </row>
    <row r="879">
      <c r="A879" s="4">
        <f>IF(B879="","",ROW()-1)</f>
      </c>
      <c r="B879" s="5"/>
      <c r="C879" s="2">
        <f>IF(B879="","",IF(C879="",NOW(),C879))</f>
      </c>
    </row>
    <row r="880">
      <c r="A880" s="4">
        <f>IF(B880="","",ROW()-1)</f>
      </c>
      <c r="B880" s="5"/>
      <c r="C880" s="2">
        <f>IF(B880="","",IF(C880="",NOW(),C880))</f>
      </c>
    </row>
    <row r="881">
      <c r="A881" s="4">
        <f>IF(B881="","",ROW()-1)</f>
      </c>
      <c r="B881" s="5"/>
      <c r="C881" s="2">
        <f>IF(B881="","",IF(C881="",NOW(),C881))</f>
      </c>
    </row>
    <row r="882">
      <c r="A882" s="4">
        <f>IF(B882="","",ROW()-1)</f>
      </c>
      <c r="B882" s="5"/>
      <c r="C882" s="2">
        <f>IF(B882="","",IF(C882="",NOW(),C882))</f>
      </c>
    </row>
    <row r="883">
      <c r="A883" s="4">
        <f>IF(B883="","",ROW()-1)</f>
      </c>
      <c r="B883" s="5"/>
      <c r="C883" s="2">
        <f>IF(B883="","",IF(C883="",NOW(),C883))</f>
      </c>
    </row>
    <row r="884">
      <c r="A884" s="4">
        <f>IF(B884="","",ROW()-1)</f>
      </c>
      <c r="B884" s="5"/>
      <c r="C884" s="2">
        <f>IF(B884="","",IF(C884="",NOW(),C884))</f>
      </c>
    </row>
    <row r="885">
      <c r="A885" s="4">
        <f>IF(B885="","",ROW()-1)</f>
      </c>
      <c r="B885" s="5"/>
      <c r="C885" s="2">
        <f>IF(B885="","",IF(C885="",NOW(),C885))</f>
      </c>
    </row>
    <row r="886">
      <c r="A886" s="4">
        <f>IF(B886="","",ROW()-1)</f>
      </c>
      <c r="B886" s="5"/>
      <c r="C886" s="2">
        <f>IF(B886="","",IF(C886="",NOW(),C886))</f>
      </c>
    </row>
    <row r="887">
      <c r="A887" s="4">
        <f>IF(B887="","",ROW()-1)</f>
      </c>
      <c r="B887" s="5"/>
      <c r="C887" s="2">
        <f>IF(B887="","",IF(C887="",NOW(),C887))</f>
      </c>
    </row>
    <row r="888">
      <c r="A888" s="4">
        <f>IF(B888="","",ROW()-1)</f>
      </c>
      <c r="B888" s="5"/>
      <c r="C888" s="2">
        <f>IF(B888="","",IF(C888="",NOW(),C888))</f>
      </c>
    </row>
    <row r="889">
      <c r="A889" s="4">
        <f>IF(B889="","",ROW()-1)</f>
      </c>
      <c r="B889" s="5"/>
      <c r="C889" s="2">
        <f>IF(B889="","",IF(C889="",NOW(),C889))</f>
      </c>
    </row>
    <row r="890">
      <c r="A890" s="4">
        <f>IF(B890="","",ROW()-1)</f>
      </c>
      <c r="B890" s="5"/>
      <c r="C890" s="2">
        <f>IF(B890="","",IF(C890="",NOW(),C890))</f>
      </c>
    </row>
    <row r="891">
      <c r="A891" s="4">
        <f>IF(B891="","",ROW()-1)</f>
      </c>
      <c r="B891" s="5"/>
      <c r="C891" s="2">
        <f>IF(B891="","",IF(C891="",NOW(),C891))</f>
      </c>
    </row>
    <row r="892">
      <c r="A892" s="4">
        <f>IF(B892="","",ROW()-1)</f>
      </c>
      <c r="B892" s="5"/>
      <c r="C892" s="2">
        <f>IF(B892="","",IF(C892="",NOW(),C892))</f>
      </c>
    </row>
    <row r="893">
      <c r="A893" s="4">
        <f>IF(B893="","",ROW()-1)</f>
      </c>
      <c r="B893" s="5"/>
      <c r="C893" s="2">
        <f>IF(B893="","",IF(C893="",NOW(),C893))</f>
      </c>
    </row>
    <row r="894">
      <c r="A894" s="4">
        <f>IF(B894="","",ROW()-1)</f>
      </c>
      <c r="B894" s="5"/>
      <c r="C894" s="2">
        <f>IF(B894="","",IF(C894="",NOW(),C894))</f>
      </c>
    </row>
    <row r="895">
      <c r="A895" s="4">
        <f>IF(B895="","",ROW()-1)</f>
      </c>
      <c r="B895" s="5"/>
      <c r="C895" s="2">
        <f>IF(B895="","",IF(C895="",NOW(),C895))</f>
      </c>
    </row>
    <row r="896">
      <c r="A896" s="4">
        <f>IF(B896="","",ROW()-1)</f>
      </c>
      <c r="B896" s="5"/>
      <c r="C896" s="2">
        <f>IF(B896="","",IF(C896="",NOW(),C896))</f>
      </c>
    </row>
    <row r="897">
      <c r="A897" s="4">
        <f>IF(B897="","",ROW()-1)</f>
      </c>
      <c r="B897" s="5"/>
      <c r="C897" s="2">
        <f>IF(B897="","",IF(C897="",NOW(),C897))</f>
      </c>
    </row>
    <row r="898">
      <c r="A898" s="4">
        <f>IF(B898="","",ROW()-1)</f>
      </c>
      <c r="B898" s="5"/>
      <c r="C898" s="2">
        <f>IF(B898="","",IF(C898="",NOW(),C898))</f>
      </c>
    </row>
    <row r="899">
      <c r="A899" s="4">
        <f>IF(B899="","",ROW()-1)</f>
      </c>
      <c r="B899" s="5"/>
      <c r="C899" s="2">
        <f>IF(B899="","",IF(C899="",NOW(),C899))</f>
      </c>
    </row>
    <row r="900">
      <c r="A900" s="4">
        <f>IF(B900="","",ROW()-1)</f>
      </c>
      <c r="B900" s="5"/>
      <c r="C900" s="2">
        <f>IF(B900="","",IF(C900="",NOW(),C900))</f>
      </c>
    </row>
    <row r="901">
      <c r="A901" s="4">
        <f>IF(B901="","",ROW()-1)</f>
      </c>
      <c r="B901" s="5"/>
      <c r="C901" s="2">
        <f>IF(B901="","",IF(C901="",NOW(),C901))</f>
      </c>
    </row>
    <row r="902">
      <c r="A902" s="4">
        <f>IF(B902="","",ROW()-1)</f>
      </c>
      <c r="B902" s="5"/>
      <c r="C902" s="2">
        <f>IF(B902="","",IF(C902="",NOW(),C902))</f>
      </c>
    </row>
    <row r="903">
      <c r="A903" s="4">
        <f>IF(B903="","",ROW()-1)</f>
      </c>
      <c r="B903" s="5"/>
      <c r="C903" s="2">
        <f>IF(B903="","",IF(C903="",NOW(),C903))</f>
      </c>
    </row>
    <row r="904">
      <c r="A904" s="4">
        <f>IF(B904="","",ROW()-1)</f>
      </c>
      <c r="B904" s="5"/>
      <c r="C904" s="2">
        <f>IF(B904="","",IF(C904="",NOW(),C904))</f>
      </c>
    </row>
    <row r="905">
      <c r="A905" s="4">
        <f>IF(B905="","",ROW()-1)</f>
      </c>
      <c r="B905" s="5"/>
      <c r="C905" s="2">
        <f>IF(B905="","",IF(C905="",NOW(),C905))</f>
      </c>
    </row>
    <row r="906">
      <c r="A906" s="4">
        <f>IF(B906="","",ROW()-1)</f>
      </c>
      <c r="B906" s="5"/>
      <c r="C906" s="2">
        <f>IF(B906="","",IF(C906="",NOW(),C906))</f>
      </c>
    </row>
    <row r="907">
      <c r="A907" s="4">
        <f>IF(B907="","",ROW()-1)</f>
      </c>
      <c r="B907" s="5"/>
      <c r="C907" s="2">
        <f>IF(B907="","",IF(C907="",NOW(),C907))</f>
      </c>
    </row>
    <row r="908">
      <c r="A908" s="4">
        <f>IF(B908="","",ROW()-1)</f>
      </c>
      <c r="B908" s="5"/>
      <c r="C908" s="2">
        <f>IF(B908="","",IF(C908="",NOW(),C908))</f>
      </c>
    </row>
    <row r="909">
      <c r="A909" s="4">
        <f>IF(B909="","",ROW()-1)</f>
      </c>
      <c r="B909" s="5"/>
      <c r="C909" s="2">
        <f>IF(B909="","",IF(C909="",NOW(),C909))</f>
      </c>
    </row>
    <row r="910">
      <c r="A910" s="4">
        <f>IF(B910="","",ROW()-1)</f>
      </c>
      <c r="B910" s="5"/>
      <c r="C910" s="2">
        <f>IF(B910="","",IF(C910="",NOW(),C910))</f>
      </c>
    </row>
    <row r="911">
      <c r="A911" s="4">
        <f>IF(B911="","",ROW()-1)</f>
      </c>
      <c r="B911" s="5"/>
      <c r="C911" s="2">
        <f>IF(B911="","",IF(C911="",NOW(),C911))</f>
      </c>
    </row>
    <row r="912">
      <c r="A912" s="4">
        <f>IF(B912="","",ROW()-1)</f>
      </c>
      <c r="B912" s="5"/>
      <c r="C912" s="2">
        <f>IF(B912="","",IF(C912="",NOW(),C912))</f>
      </c>
    </row>
    <row r="913">
      <c r="A913" s="4">
        <f>IF(B913="","",ROW()-1)</f>
      </c>
      <c r="B913" s="5"/>
      <c r="C913" s="2">
        <f>IF(B913="","",IF(C913="",NOW(),C913))</f>
      </c>
    </row>
    <row r="914">
      <c r="A914" s="4">
        <f>IF(B914="","",ROW()-1)</f>
      </c>
      <c r="B914" s="5"/>
      <c r="C914" s="2">
        <f>IF(B914="","",IF(C914="",NOW(),C914))</f>
      </c>
    </row>
    <row r="915">
      <c r="A915" s="4">
        <f>IF(B915="","",ROW()-1)</f>
      </c>
      <c r="B915" s="5"/>
      <c r="C915" s="2">
        <f>IF(B915="","",IF(C915="",NOW(),C915))</f>
      </c>
    </row>
    <row r="916">
      <c r="A916" s="4">
        <f>IF(B916="","",ROW()-1)</f>
      </c>
      <c r="B916" s="5"/>
      <c r="C916" s="2">
        <f>IF(B916="","",IF(C916="",NOW(),C916))</f>
      </c>
    </row>
    <row r="917">
      <c r="A917" s="4">
        <f>IF(B917="","",ROW()-1)</f>
      </c>
      <c r="B917" s="5"/>
      <c r="C917" s="2">
        <f>IF(B917="","",IF(C917="",NOW(),C917))</f>
      </c>
    </row>
    <row r="918">
      <c r="A918" s="4">
        <f>IF(B918="","",ROW()-1)</f>
      </c>
      <c r="B918" s="5"/>
      <c r="C918" s="2">
        <f>IF(B918="","",IF(C918="",NOW(),C918))</f>
      </c>
    </row>
    <row r="919">
      <c r="A919" s="4">
        <f>IF(B919="","",ROW()-1)</f>
      </c>
      <c r="B919" s="5"/>
      <c r="C919" s="2">
        <f>IF(B919="","",IF(C919="",NOW(),C919))</f>
      </c>
    </row>
    <row r="920">
      <c r="A920" s="4">
        <f>IF(B920="","",ROW()-1)</f>
      </c>
      <c r="B920" s="5"/>
      <c r="C920" s="2">
        <f>IF(B920="","",IF(C920="",NOW(),C920))</f>
      </c>
    </row>
    <row r="921">
      <c r="A921" s="4">
        <f>IF(B921="","",ROW()-1)</f>
      </c>
      <c r="B921" s="5"/>
      <c r="C921" s="2">
        <f>IF(B921="","",IF(C921="",NOW(),C921))</f>
      </c>
    </row>
    <row r="922">
      <c r="A922" s="4">
        <f>IF(B922="","",ROW()-1)</f>
      </c>
      <c r="B922" s="5"/>
      <c r="C922" s="2">
        <f>IF(B922="","",IF(C922="",NOW(),C922))</f>
      </c>
    </row>
    <row r="923">
      <c r="A923" s="4">
        <f>IF(B923="","",ROW()-1)</f>
      </c>
      <c r="B923" s="5"/>
      <c r="C923" s="2">
        <f>IF(B923="","",IF(C923="",NOW(),C923))</f>
      </c>
    </row>
    <row r="924">
      <c r="A924" s="4">
        <f>IF(B924="","",ROW()-1)</f>
      </c>
      <c r="B924" s="5"/>
      <c r="C924" s="2">
        <f>IF(B924="","",IF(C924="",NOW(),C924))</f>
      </c>
    </row>
    <row r="925">
      <c r="A925" s="4">
        <f>IF(B925="","",ROW()-1)</f>
      </c>
      <c r="B925" s="5"/>
      <c r="C925" s="2">
        <f>IF(B925="","",IF(C925="",NOW(),C925))</f>
      </c>
    </row>
    <row r="926">
      <c r="A926" s="4">
        <f>IF(B926="","",ROW()-1)</f>
      </c>
      <c r="B926" s="5"/>
      <c r="C926" s="2">
        <f>IF(B926="","",IF(C926="",NOW(),C926))</f>
      </c>
    </row>
    <row r="927">
      <c r="A927" s="4">
        <f>IF(B927="","",ROW()-1)</f>
      </c>
      <c r="B927" s="5"/>
      <c r="C927" s="2">
        <f>IF(B927="","",IF(C927="",NOW(),C927))</f>
      </c>
    </row>
    <row r="928">
      <c r="A928" s="4">
        <f>IF(B928="","",ROW()-1)</f>
      </c>
      <c r="B928" s="5"/>
      <c r="C928" s="2">
        <f>IF(B928="","",IF(C928="",NOW(),C928))</f>
      </c>
    </row>
    <row r="929">
      <c r="A929" s="4">
        <f>IF(B929="","",ROW()-1)</f>
      </c>
      <c r="B929" s="5"/>
      <c r="C929" s="2">
        <f>IF(B929="","",IF(C929="",NOW(),C929))</f>
      </c>
    </row>
    <row r="930">
      <c r="A930" s="4">
        <f>IF(B930="","",ROW()-1)</f>
      </c>
      <c r="B930" s="5"/>
      <c r="C930" s="2">
        <f>IF(B930="","",IF(C930="",NOW(),C930))</f>
      </c>
    </row>
    <row r="931">
      <c r="A931" s="4">
        <f>IF(B931="","",ROW()-1)</f>
      </c>
      <c r="B931" s="5"/>
      <c r="C931" s="2">
        <f>IF(B931="","",IF(C931="",NOW(),C931))</f>
      </c>
    </row>
    <row r="932">
      <c r="A932" s="4">
        <f>IF(B932="","",ROW()-1)</f>
      </c>
      <c r="B932" s="5"/>
      <c r="C932" s="2">
        <f>IF(B932="","",IF(C932="",NOW(),C932))</f>
      </c>
    </row>
    <row r="933">
      <c r="A933" s="4">
        <f>IF(B933="","",ROW()-1)</f>
      </c>
      <c r="B933" s="5"/>
      <c r="C933" s="2">
        <f>IF(B933="","",IF(C933="",NOW(),C933))</f>
      </c>
    </row>
    <row r="934">
      <c r="A934" s="4">
        <f>IF(B934="","",ROW()-1)</f>
      </c>
      <c r="B934" s="5"/>
      <c r="C934" s="2">
        <f>IF(B934="","",IF(C934="",NOW(),C934))</f>
      </c>
    </row>
    <row r="935">
      <c r="A935" s="4">
        <f>IF(B935="","",ROW()-1)</f>
      </c>
      <c r="B935" s="5"/>
      <c r="C935" s="2">
        <f>IF(B935="","",IF(C935="",NOW(),C935))</f>
      </c>
    </row>
    <row r="936">
      <c r="A936" s="4">
        <f>IF(B936="","",ROW()-1)</f>
      </c>
      <c r="B936" s="5"/>
      <c r="C936" s="2">
        <f>IF(B936="","",IF(C936="",NOW(),C936))</f>
      </c>
    </row>
    <row r="937">
      <c r="A937" s="4">
        <f>IF(B937="","",ROW()-1)</f>
      </c>
      <c r="B937" s="5"/>
      <c r="C937" s="2">
        <f>IF(B937="","",IF(C937="",NOW(),C937))</f>
      </c>
    </row>
    <row r="938">
      <c r="A938" s="4">
        <f>IF(B938="","",ROW()-1)</f>
      </c>
      <c r="B938" s="5"/>
      <c r="C938" s="2">
        <f>IF(B938="","",IF(C938="",NOW(),C938))</f>
      </c>
    </row>
    <row r="939">
      <c r="A939" s="4">
        <f>IF(B939="","",ROW()-1)</f>
      </c>
      <c r="B939" s="5"/>
      <c r="C939" s="2">
        <f>IF(B939="","",IF(C939="",NOW(),C939))</f>
      </c>
    </row>
    <row r="940">
      <c r="A940" s="4">
        <f>IF(B940="","",ROW()-1)</f>
      </c>
      <c r="B940" s="5"/>
      <c r="C940" s="2">
        <f>IF(B940="","",IF(C940="",NOW(),C940))</f>
      </c>
    </row>
    <row r="941">
      <c r="A941" s="4">
        <f>IF(B941="","",ROW()-1)</f>
      </c>
      <c r="B941" s="5"/>
      <c r="C941" s="2">
        <f>IF(B941="","",IF(C941="",NOW(),C941))</f>
      </c>
    </row>
    <row r="942">
      <c r="A942" s="4">
        <f>IF(B942="","",ROW()-1)</f>
      </c>
      <c r="B942" s="5"/>
      <c r="C942" s="2">
        <f>IF(B942="","",IF(C942="",NOW(),C942))</f>
      </c>
    </row>
    <row r="943">
      <c r="A943" s="4">
        <f>IF(B943="","",ROW()-1)</f>
      </c>
      <c r="B943" s="5"/>
      <c r="C943" s="2">
        <f>IF(B943="","",IF(C943="",NOW(),C943))</f>
      </c>
    </row>
    <row r="944">
      <c r="A944" s="4">
        <f>IF(B944="","",ROW()-1)</f>
      </c>
      <c r="B944" s="5"/>
      <c r="C944" s="2">
        <f>IF(B944="","",IF(C944="",NOW(),C944))</f>
      </c>
    </row>
    <row r="945">
      <c r="A945" s="4">
        <f>IF(B945="","",ROW()-1)</f>
      </c>
      <c r="B945" s="5"/>
      <c r="C945" s="2">
        <f>IF(B945="","",IF(C945="",NOW(),C945))</f>
      </c>
    </row>
    <row r="946">
      <c r="A946" s="4">
        <f>IF(B946="","",ROW()-1)</f>
      </c>
      <c r="B946" s="5"/>
      <c r="C946" s="2">
        <f>IF(B946="","",IF(C946="",NOW(),C946))</f>
      </c>
    </row>
    <row r="947">
      <c r="A947" s="4">
        <f>IF(B947="","",ROW()-1)</f>
      </c>
      <c r="B947" s="5"/>
      <c r="C947" s="2">
        <f>IF(B947="","",IF(C947="",NOW(),C947))</f>
      </c>
    </row>
    <row r="948">
      <c r="A948" s="4">
        <f>IF(B948="","",ROW()-1)</f>
      </c>
      <c r="B948" s="5"/>
      <c r="C948" s="2">
        <f>IF(B948="","",IF(C948="",NOW(),C948))</f>
      </c>
    </row>
    <row r="949">
      <c r="A949" s="4">
        <f>IF(B949="","",ROW()-1)</f>
      </c>
      <c r="B949" s="5"/>
      <c r="C949" s="2">
        <f>IF(B949="","",IF(C949="",NOW(),C949))</f>
      </c>
    </row>
    <row r="950">
      <c r="A950" s="4">
        <f>IF(B950="","",ROW()-1)</f>
      </c>
      <c r="B950" s="5"/>
      <c r="C950" s="2">
        <f>IF(B950="","",IF(C950="",NOW(),C950))</f>
      </c>
    </row>
    <row r="951">
      <c r="A951" s="4">
        <f>IF(B951="","",ROW()-1)</f>
      </c>
      <c r="B951" s="5"/>
      <c r="C951" s="2">
        <f>IF(B951="","",IF(C951="",NOW(),C951))</f>
      </c>
    </row>
    <row r="952">
      <c r="A952" s="4">
        <f>IF(B952="","",ROW()-1)</f>
      </c>
      <c r="B952" s="5"/>
      <c r="C952" s="2">
        <f>IF(B952="","",IF(C952="",NOW(),C952))</f>
      </c>
    </row>
    <row r="953">
      <c r="A953" s="4">
        <f>IF(B953="","",ROW()-1)</f>
      </c>
      <c r="B953" s="5"/>
      <c r="C953" s="2">
        <f>IF(B953="","",IF(C953="",NOW(),C953))</f>
      </c>
    </row>
    <row r="954">
      <c r="A954" s="4">
        <f>IF(B954="","",ROW()-1)</f>
      </c>
      <c r="B954" s="5"/>
      <c r="C954" s="2">
        <f>IF(B954="","",IF(C954="",NOW(),C954))</f>
      </c>
    </row>
    <row r="955">
      <c r="A955" s="4">
        <f>IF(B955="","",ROW()-1)</f>
      </c>
      <c r="B955" s="5"/>
      <c r="C955" s="2">
        <f>IF(B955="","",IF(C955="",NOW(),C955))</f>
      </c>
    </row>
    <row r="956">
      <c r="A956" s="4">
        <f>IF(B956="","",ROW()-1)</f>
      </c>
      <c r="B956" s="5"/>
      <c r="C956" s="2">
        <f>IF(B956="","",IF(C956="",NOW(),C956))</f>
      </c>
    </row>
    <row r="957">
      <c r="A957" s="4">
        <f>IF(B957="","",ROW()-1)</f>
      </c>
      <c r="B957" s="5"/>
      <c r="C957" s="2">
        <f>IF(B957="","",IF(C957="",NOW(),C957))</f>
      </c>
    </row>
    <row r="958">
      <c r="A958" s="4">
        <f>IF(B958="","",ROW()-1)</f>
      </c>
      <c r="B958" s="5"/>
      <c r="C958" s="2">
        <f>IF(B958="","",IF(C958="",NOW(),C958))</f>
      </c>
    </row>
    <row r="959">
      <c r="A959" s="4">
        <f>IF(B959="","",ROW()-1)</f>
      </c>
      <c r="B959" s="5"/>
      <c r="C959" s="2">
        <f>IF(B959="","",IF(C959="",NOW(),C959))</f>
      </c>
    </row>
    <row r="960">
      <c r="A960" s="4">
        <f>IF(B960="","",ROW()-1)</f>
      </c>
      <c r="B960" s="5"/>
      <c r="C960" s="2">
        <f>IF(B960="","",IF(C960="",NOW(),C960))</f>
      </c>
    </row>
    <row r="961">
      <c r="A961" s="4">
        <f>IF(B961="","",ROW()-1)</f>
      </c>
      <c r="B961" s="5"/>
      <c r="C961" s="2">
        <f>IF(B961="","",IF(C961="",NOW(),C961))</f>
      </c>
    </row>
    <row r="962">
      <c r="A962" s="4">
        <f>IF(B962="","",ROW()-1)</f>
      </c>
      <c r="B962" s="5"/>
      <c r="C962" s="2">
        <f>IF(B962="","",IF(C962="",NOW(),C962))</f>
      </c>
    </row>
    <row r="963">
      <c r="A963" s="4">
        <f>IF(B963="","",ROW()-1)</f>
      </c>
      <c r="B963" s="5"/>
      <c r="C963" s="2">
        <f>IF(B963="","",IF(C963="",NOW(),C963))</f>
      </c>
    </row>
    <row r="964">
      <c r="A964" s="4">
        <f>IF(B964="","",ROW()-1)</f>
      </c>
      <c r="B964" s="5"/>
      <c r="C964" s="2">
        <f>IF(B964="","",IF(C964="",NOW(),C964))</f>
      </c>
    </row>
    <row r="965">
      <c r="A965" s="4">
        <f>IF(B965="","",ROW()-1)</f>
      </c>
      <c r="B965" s="5"/>
      <c r="C965" s="2">
        <f>IF(B965="","",IF(C965="",NOW(),C965))</f>
      </c>
    </row>
    <row r="966">
      <c r="A966" s="4">
        <f>IF(B966="","",ROW()-1)</f>
      </c>
      <c r="B966" s="5"/>
      <c r="C966" s="2">
        <f>IF(B966="","",IF(C966="",NOW(),C966))</f>
      </c>
    </row>
    <row r="967">
      <c r="A967" s="4">
        <f>IF(B967="","",ROW()-1)</f>
      </c>
      <c r="B967" s="5"/>
      <c r="C967" s="2">
        <f>IF(B967="","",IF(C967="",NOW(),C967))</f>
      </c>
    </row>
    <row r="968">
      <c r="A968" s="4">
        <f>IF(B968="","",ROW()-1)</f>
      </c>
      <c r="B968" s="5"/>
      <c r="C968" s="2">
        <f>IF(B968="","",IF(C968="",NOW(),C968))</f>
      </c>
    </row>
    <row r="969">
      <c r="A969" s="4">
        <f>IF(B969="","",ROW()-1)</f>
      </c>
      <c r="B969" s="5"/>
      <c r="C969" s="2">
        <f>IF(B969="","",IF(C969="",NOW(),C969))</f>
      </c>
    </row>
    <row r="970">
      <c r="A970" s="4">
        <f>IF(B970="","",ROW()-1)</f>
      </c>
      <c r="B970" s="5"/>
      <c r="C970" s="2">
        <f>IF(B970="","",IF(C970="",NOW(),C970))</f>
      </c>
    </row>
    <row r="971">
      <c r="A971" s="4">
        <f>IF(B971="","",ROW()-1)</f>
      </c>
      <c r="B971" s="5"/>
      <c r="C971" s="2">
        <f>IF(B971="","",IF(C971="",NOW(),C971))</f>
      </c>
    </row>
    <row r="972">
      <c r="A972" s="4">
        <f>IF(B972="","",ROW()-1)</f>
      </c>
      <c r="B972" s="5"/>
      <c r="C972" s="2">
        <f>IF(B972="","",IF(C972="",NOW(),C972))</f>
      </c>
    </row>
    <row r="973">
      <c r="A973" s="4">
        <f>IF(B973="","",ROW()-1)</f>
      </c>
      <c r="B973" s="5"/>
      <c r="C973" s="2">
        <f>IF(B973="","",IF(C973="",NOW(),C973))</f>
      </c>
    </row>
    <row r="974">
      <c r="A974" s="4">
        <f>IF(B974="","",ROW()-1)</f>
      </c>
      <c r="B974" s="5"/>
      <c r="C974" s="2">
        <f>IF(B974="","",IF(C974="",NOW(),C974))</f>
      </c>
    </row>
    <row r="975">
      <c r="A975" s="4">
        <f>IF(B975="","",ROW()-1)</f>
      </c>
      <c r="B975" s="5"/>
      <c r="C975" s="2">
        <f>IF(B975="","",IF(C975="",NOW(),C975))</f>
      </c>
    </row>
    <row r="976">
      <c r="A976" s="4">
        <f>IF(B976="","",ROW()-1)</f>
      </c>
      <c r="B976" s="5"/>
      <c r="C976" s="2">
        <f>IF(B976="","",IF(C976="",NOW(),C976))</f>
      </c>
    </row>
    <row r="977">
      <c r="A977" s="4">
        <f>IF(B977="","",ROW()-1)</f>
      </c>
      <c r="B977" s="5"/>
      <c r="C977" s="2">
        <f>IF(B977="","",IF(C977="",NOW(),C977))</f>
      </c>
    </row>
    <row r="978">
      <c r="A978" s="4">
        <f>IF(B978="","",ROW()-1)</f>
      </c>
      <c r="B978" s="5"/>
      <c r="C978" s="2">
        <f>IF(B978="","",IF(C978="",NOW(),C978))</f>
      </c>
    </row>
    <row r="979">
      <c r="A979" s="4">
        <f>IF(B979="","",ROW()-1)</f>
      </c>
      <c r="B979" s="5"/>
      <c r="C979" s="2">
        <f>IF(B979="","",IF(C979="",NOW(),C979))</f>
      </c>
    </row>
    <row r="980">
      <c r="A980" s="4">
        <f>IF(B980="","",ROW()-1)</f>
      </c>
      <c r="B980" s="5"/>
      <c r="C980" s="2">
        <f>IF(B980="","",IF(C980="",NOW(),C980))</f>
      </c>
    </row>
    <row r="981">
      <c r="A981" s="4">
        <f>IF(B981="","",ROW()-1)</f>
      </c>
      <c r="B981" s="5"/>
      <c r="C981" s="2">
        <f>IF(B981="","",IF(C981="",NOW(),C981))</f>
      </c>
    </row>
    <row r="982">
      <c r="A982" s="4">
        <f>IF(B982="","",ROW()-1)</f>
      </c>
      <c r="B982" s="5"/>
      <c r="C982" s="2">
        <f>IF(B982="","",IF(C982="",NOW(),C982))</f>
      </c>
    </row>
    <row r="983">
      <c r="A983" s="4">
        <f>IF(B983="","",ROW()-1)</f>
      </c>
      <c r="B983" s="5"/>
      <c r="C983" s="2">
        <f>IF(B983="","",IF(C983="",NOW(),C983))</f>
      </c>
    </row>
    <row r="984">
      <c r="A984" s="4">
        <f>IF(B984="","",ROW()-1)</f>
      </c>
      <c r="B984" s="5"/>
      <c r="C984" s="2">
        <f>IF(B984="","",IF(C984="",NOW(),C984))</f>
      </c>
    </row>
    <row r="985">
      <c r="A985" s="4">
        <f>IF(B985="","",ROW()-1)</f>
      </c>
      <c r="B985" s="5"/>
      <c r="C985" s="2">
        <f>IF(B985="","",IF(C985="",NOW(),C985))</f>
      </c>
    </row>
    <row r="986">
      <c r="A986" s="4">
        <f>IF(B986="","",ROW()-1)</f>
      </c>
      <c r="B986" s="5"/>
      <c r="C986" s="2">
        <f>IF(B986="","",IF(C986="",NOW(),C986))</f>
      </c>
    </row>
    <row r="987">
      <c r="A987" s="4">
        <f>IF(B987="","",ROW()-1)</f>
      </c>
      <c r="B987" s="5"/>
      <c r="C987" s="2">
        <f>IF(B987="","",IF(C987="",NOW(),C987))</f>
      </c>
    </row>
    <row r="988">
      <c r="A988" s="4">
        <f>IF(B988="","",ROW()-1)</f>
      </c>
      <c r="B988" s="5"/>
      <c r="C988" s="2">
        <f>IF(B988="","",IF(C988="",NOW(),C988))</f>
      </c>
    </row>
    <row r="989">
      <c r="A989" s="4">
        <f>IF(B989="","",ROW()-1)</f>
      </c>
      <c r="B989" s="5"/>
      <c r="C989" s="2">
        <f>IF(B989="","",IF(C989="",NOW(),C989))</f>
      </c>
    </row>
    <row r="990">
      <c r="A990" s="4">
        <f>IF(B990="","",ROW()-1)</f>
      </c>
      <c r="B990" s="5"/>
      <c r="C990" s="2">
        <f>IF(B990="","",IF(C990="",NOW(),C990))</f>
      </c>
    </row>
    <row r="991">
      <c r="A991" s="4">
        <f>IF(B991="","",ROW()-1)</f>
      </c>
      <c r="B991" s="5"/>
      <c r="C991" s="2">
        <f>IF(B991="","",IF(C991="",NOW(),C991))</f>
      </c>
    </row>
    <row r="992">
      <c r="A992" s="4">
        <f>IF(B992="","",ROW()-1)</f>
      </c>
      <c r="B992" s="5"/>
      <c r="C992" s="2">
        <f>IF(B992="","",IF(C992="",NOW(),C992))</f>
      </c>
    </row>
    <row r="993">
      <c r="A993" s="4">
        <f>IF(B993="","",ROW()-1)</f>
      </c>
      <c r="B993" s="5"/>
      <c r="C993" s="2">
        <f>IF(B993="","",IF(C993="",NOW(),C993))</f>
      </c>
    </row>
    <row r="994">
      <c r="A994" s="4">
        <f>IF(B994="","",ROW()-1)</f>
      </c>
      <c r="B994" s="5"/>
      <c r="C994" s="2">
        <f>IF(B994="","",IF(C994="",NOW(),C994))</f>
      </c>
    </row>
    <row r="995">
      <c r="A995" s="4">
        <f>IF(B995="","",ROW()-1)</f>
      </c>
      <c r="B995" s="5"/>
      <c r="C995" s="2">
        <f>IF(B995="","",IF(C995="",NOW(),C995))</f>
      </c>
    </row>
    <row r="996">
      <c r="A996" s="4">
        <f>IF(B996="","",ROW()-1)</f>
      </c>
      <c r="B996" s="5"/>
      <c r="C996" s="2">
        <f>IF(B996="","",IF(C996="",NOW(),C996))</f>
      </c>
    </row>
    <row r="997">
      <c r="A997" s="4">
        <f>IF(B997="","",ROW()-1)</f>
      </c>
      <c r="B997" s="5"/>
      <c r="C997" s="2">
        <f>IF(B997="","",IF(C997="",NOW(),C997))</f>
      </c>
    </row>
    <row r="998">
      <c r="A998" s="4">
        <f>IF(B998="","",ROW()-1)</f>
      </c>
      <c r="B998" s="5"/>
      <c r="C998" s="2">
        <f>IF(B998="","",IF(C998="",NOW(),C998))</f>
      </c>
    </row>
    <row r="999">
      <c r="A999" s="4">
        <f>IF(B999="","",ROW()-1)</f>
      </c>
      <c r="B999" s="5"/>
      <c r="C999" s="2">
        <f>IF(B999="","",IF(C999="",NOW(),C999))</f>
      </c>
    </row>
    <row r="1000">
      <c r="A1000" s="4">
        <f>IF(B1000="","",ROW()-1)</f>
      </c>
      <c r="B1000" s="5"/>
      <c r="C1000" s="2">
        <f>IF(B1000="","",IF(C1000="",NOW(),C1000))</f>
      </c>
    </row>
  </sheetData>
  <conditionalFormatting sqref="B2:B1000">
    <cfRule type="expression" dxfId="0" priority="1">
      <formula>COUNTIF($B$2:$B$1000,B2)&gt;1</formula>
    </cfRule>
  </conditionalFormatting>
  <dataValidations count="1">
    <dataValidation type="custom" allowBlank="1" showInputMessage="0" showErrorMessage="1" errorStyle="stop" errorTitle="Kode Duplikat" error="Kode barang ini SUDAH ADA di Input. Gunakan kode lain." sqref="B2:B1000">
      <formula1>COUNTIF($B$2:$B$1000,B2)=1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0"/>
  <sheetViews>
    <sheetView workbookViewId="0" tabSelected="1">
      <pane ySplit="1" topLeftCell="A2" activePane="bottomLeft" state="frozen"/>
      <selection pane="bottomLeft" activeCell="B2" sqref="B2"/>
    </sheetView>
  </sheetViews>
  <sheetFormatPr defaultRowHeight="15"/>
  <cols>
    <col min="1" max="1" width="6" customWidth="1"/>
    <col min="2" max="2" width="22" customWidth="1"/>
    <col min="3" max="3" width="22" customWidth="1"/>
  </cols>
  <sheetData>
    <row r="1" ht="22" customHeight="1">
      <c r="A1" s="1" t="s">
        <v>0</v>
      </c>
      <c r="B1" s="1" t="s">
        <v>1</v>
      </c>
      <c r="C1" s="1" t="s">
        <v>3</v>
      </c>
    </row>
    <row r="2">
      <c r="A2" s="4">
        <f>IF(B2="","",ROW()-1)</f>
      </c>
      <c r="B2" s="5"/>
      <c r="C2" s="2">
        <f>IF(B2="","",IF(C2="",NOW(),C2))</f>
      </c>
    </row>
    <row r="3">
      <c r="A3" s="4">
        <f>IF(B3="","",ROW()-1)</f>
      </c>
      <c r="B3" s="5"/>
      <c r="C3" s="2">
        <f>IF(B3="","",IF(C3="",NOW(),C3))</f>
      </c>
    </row>
    <row r="4">
      <c r="A4" s="4">
        <f>IF(B4="","",ROW()-1)</f>
      </c>
      <c r="B4" s="5"/>
      <c r="C4" s="2">
        <f>IF(B4="","",IF(C4="",NOW(),C4))</f>
      </c>
    </row>
    <row r="5">
      <c r="A5" s="4">
        <f>IF(B5="","",ROW()-1)</f>
      </c>
      <c r="B5" s="5"/>
      <c r="C5" s="2">
        <f>IF(B5="","",IF(C5="",NOW(),C5))</f>
      </c>
    </row>
    <row r="6">
      <c r="A6" s="4">
        <f>IF(B6="","",ROW()-1)</f>
      </c>
      <c r="B6" s="5"/>
      <c r="C6" s="2">
        <f>IF(B6="","",IF(C6="",NOW(),C6))</f>
      </c>
    </row>
    <row r="7">
      <c r="A7" s="4">
        <f>IF(B7="","",ROW()-1)</f>
      </c>
      <c r="B7" s="5"/>
      <c r="C7" s="2">
        <f>IF(B7="","",IF(C7="",NOW(),C7))</f>
      </c>
    </row>
    <row r="8">
      <c r="A8" s="4">
        <f>IF(B8="","",ROW()-1)</f>
      </c>
      <c r="B8" s="5"/>
      <c r="C8" s="2">
        <f>IF(B8="","",IF(C8="",NOW(),C8))</f>
      </c>
    </row>
    <row r="9">
      <c r="A9" s="4">
        <f>IF(B9="","",ROW()-1)</f>
      </c>
      <c r="B9" s="5"/>
      <c r="C9" s="2">
        <f>IF(B9="","",IF(C9="",NOW(),C9))</f>
      </c>
    </row>
    <row r="10">
      <c r="A10" s="4">
        <f>IF(B10="","",ROW()-1)</f>
      </c>
      <c r="B10" s="5"/>
      <c r="C10" s="2">
        <f>IF(B10="","",IF(C10="",NOW(),C10))</f>
      </c>
    </row>
    <row r="11">
      <c r="A11" s="4">
        <f>IF(B11="","",ROW()-1)</f>
      </c>
      <c r="B11" s="5"/>
      <c r="C11" s="2">
        <f>IF(B11="","",IF(C11="",NOW(),C11))</f>
      </c>
    </row>
    <row r="12">
      <c r="A12" s="4">
        <f>IF(B12="","",ROW()-1)</f>
      </c>
      <c r="B12" s="5"/>
      <c r="C12" s="2">
        <f>IF(B12="","",IF(C12="",NOW(),C12))</f>
      </c>
    </row>
    <row r="13">
      <c r="A13" s="4">
        <f>IF(B13="","",ROW()-1)</f>
      </c>
      <c r="B13" s="5"/>
      <c r="C13" s="2">
        <f>IF(B13="","",IF(C13="",NOW(),C13))</f>
      </c>
    </row>
    <row r="14">
      <c r="A14" s="4">
        <f>IF(B14="","",ROW()-1)</f>
      </c>
      <c r="B14" s="5"/>
      <c r="C14" s="2">
        <f>IF(B14="","",IF(C14="",NOW(),C14))</f>
      </c>
    </row>
    <row r="15">
      <c r="A15" s="4">
        <f>IF(B15="","",ROW()-1)</f>
      </c>
      <c r="B15" s="5"/>
      <c r="C15" s="2">
        <f>IF(B15="","",IF(C15="",NOW(),C15))</f>
      </c>
    </row>
    <row r="16">
      <c r="A16" s="4">
        <f>IF(B16="","",ROW()-1)</f>
      </c>
      <c r="B16" s="5"/>
      <c r="C16" s="2">
        <f>IF(B16="","",IF(C16="",NOW(),C16))</f>
      </c>
    </row>
    <row r="17">
      <c r="A17" s="4">
        <f>IF(B17="","",ROW()-1)</f>
      </c>
      <c r="B17" s="5"/>
      <c r="C17" s="2">
        <f>IF(B17="","",IF(C17="",NOW(),C17))</f>
      </c>
    </row>
    <row r="18">
      <c r="A18" s="4">
        <f>IF(B18="","",ROW()-1)</f>
      </c>
      <c r="B18" s="5"/>
      <c r="C18" s="2">
        <f>IF(B18="","",IF(C18="",NOW(),C18))</f>
      </c>
    </row>
    <row r="19">
      <c r="A19" s="4">
        <f>IF(B19="","",ROW()-1)</f>
      </c>
      <c r="B19" s="5"/>
      <c r="C19" s="2">
        <f>IF(B19="","",IF(C19="",NOW(),C19))</f>
      </c>
    </row>
    <row r="20">
      <c r="A20" s="4">
        <f>IF(B20="","",ROW()-1)</f>
      </c>
      <c r="B20" s="5"/>
      <c r="C20" s="2">
        <f>IF(B20="","",IF(C20="",NOW(),C20))</f>
      </c>
    </row>
    <row r="21">
      <c r="A21" s="4">
        <f>IF(B21="","",ROW()-1)</f>
      </c>
      <c r="B21" s="5"/>
      <c r="C21" s="2">
        <f>IF(B21="","",IF(C21="",NOW(),C21))</f>
      </c>
    </row>
    <row r="22">
      <c r="A22" s="4">
        <f>IF(B22="","",ROW()-1)</f>
      </c>
      <c r="B22" s="5"/>
      <c r="C22" s="2">
        <f>IF(B22="","",IF(C22="",NOW(),C22))</f>
      </c>
    </row>
    <row r="23">
      <c r="A23" s="4">
        <f>IF(B23="","",ROW()-1)</f>
      </c>
      <c r="B23" s="5"/>
      <c r="C23" s="2">
        <f>IF(B23="","",IF(C23="",NOW(),C23))</f>
      </c>
    </row>
    <row r="24">
      <c r="A24" s="4">
        <f>IF(B24="","",ROW()-1)</f>
      </c>
      <c r="B24" s="5"/>
      <c r="C24" s="2">
        <f>IF(B24="","",IF(C24="",NOW(),C24))</f>
      </c>
    </row>
    <row r="25">
      <c r="A25" s="4">
        <f>IF(B25="","",ROW()-1)</f>
      </c>
      <c r="B25" s="5"/>
      <c r="C25" s="2">
        <f>IF(B25="","",IF(C25="",NOW(),C25))</f>
      </c>
    </row>
    <row r="26">
      <c r="A26" s="4">
        <f>IF(B26="","",ROW()-1)</f>
      </c>
      <c r="B26" s="5"/>
      <c r="C26" s="2">
        <f>IF(B26="","",IF(C26="",NOW(),C26))</f>
      </c>
    </row>
    <row r="27">
      <c r="A27" s="4">
        <f>IF(B27="","",ROW()-1)</f>
      </c>
      <c r="B27" s="5"/>
      <c r="C27" s="2">
        <f>IF(B27="","",IF(C27="",NOW(),C27))</f>
      </c>
    </row>
    <row r="28">
      <c r="A28" s="4">
        <f>IF(B28="","",ROW()-1)</f>
      </c>
      <c r="B28" s="5"/>
      <c r="C28" s="2">
        <f>IF(B28="","",IF(C28="",NOW(),C28))</f>
      </c>
    </row>
    <row r="29">
      <c r="A29" s="4">
        <f>IF(B29="","",ROW()-1)</f>
      </c>
      <c r="B29" s="5"/>
      <c r="C29" s="2">
        <f>IF(B29="","",IF(C29="",NOW(),C29))</f>
      </c>
    </row>
    <row r="30">
      <c r="A30" s="4">
        <f>IF(B30="","",ROW()-1)</f>
      </c>
      <c r="B30" s="5"/>
      <c r="C30" s="2">
        <f>IF(B30="","",IF(C30="",NOW(),C30))</f>
      </c>
    </row>
    <row r="31">
      <c r="A31" s="4">
        <f>IF(B31="","",ROW()-1)</f>
      </c>
      <c r="B31" s="5"/>
      <c r="C31" s="2">
        <f>IF(B31="","",IF(C31="",NOW(),C31))</f>
      </c>
    </row>
    <row r="32">
      <c r="A32" s="4">
        <f>IF(B32="","",ROW()-1)</f>
      </c>
      <c r="B32" s="5"/>
      <c r="C32" s="2">
        <f>IF(B32="","",IF(C32="",NOW(),C32))</f>
      </c>
    </row>
    <row r="33">
      <c r="A33" s="4">
        <f>IF(B33="","",ROW()-1)</f>
      </c>
      <c r="B33" s="5"/>
      <c r="C33" s="2">
        <f>IF(B33="","",IF(C33="",NOW(),C33))</f>
      </c>
    </row>
    <row r="34">
      <c r="A34" s="4">
        <f>IF(B34="","",ROW()-1)</f>
      </c>
      <c r="B34" s="5"/>
      <c r="C34" s="2">
        <f>IF(B34="","",IF(C34="",NOW(),C34))</f>
      </c>
    </row>
    <row r="35">
      <c r="A35" s="4">
        <f>IF(B35="","",ROW()-1)</f>
      </c>
      <c r="B35" s="5"/>
      <c r="C35" s="2">
        <f>IF(B35="","",IF(C35="",NOW(),C35))</f>
      </c>
    </row>
    <row r="36">
      <c r="A36" s="4">
        <f>IF(B36="","",ROW()-1)</f>
      </c>
      <c r="B36" s="5"/>
      <c r="C36" s="2">
        <f>IF(B36="","",IF(C36="",NOW(),C36))</f>
      </c>
    </row>
    <row r="37">
      <c r="A37" s="4">
        <f>IF(B37="","",ROW()-1)</f>
      </c>
      <c r="B37" s="5"/>
      <c r="C37" s="2">
        <f>IF(B37="","",IF(C37="",NOW(),C37))</f>
      </c>
    </row>
    <row r="38">
      <c r="A38" s="4">
        <f>IF(B38="","",ROW()-1)</f>
      </c>
      <c r="B38" s="5"/>
      <c r="C38" s="2">
        <f>IF(B38="","",IF(C38="",NOW(),C38))</f>
      </c>
    </row>
    <row r="39">
      <c r="A39" s="4">
        <f>IF(B39="","",ROW()-1)</f>
      </c>
      <c r="B39" s="5"/>
      <c r="C39" s="2">
        <f>IF(B39="","",IF(C39="",NOW(),C39))</f>
      </c>
    </row>
    <row r="40">
      <c r="A40" s="4">
        <f>IF(B40="","",ROW()-1)</f>
      </c>
      <c r="B40" s="5"/>
      <c r="C40" s="2">
        <f>IF(B40="","",IF(C40="",NOW(),C40))</f>
      </c>
    </row>
    <row r="41">
      <c r="A41" s="4">
        <f>IF(B41="","",ROW()-1)</f>
      </c>
      <c r="B41" s="5"/>
      <c r="C41" s="2">
        <f>IF(B41="","",IF(C41="",NOW(),C41))</f>
      </c>
    </row>
    <row r="42">
      <c r="A42" s="4">
        <f>IF(B42="","",ROW()-1)</f>
      </c>
      <c r="B42" s="5"/>
      <c r="C42" s="2">
        <f>IF(B42="","",IF(C42="",NOW(),C42))</f>
      </c>
    </row>
    <row r="43">
      <c r="A43" s="4">
        <f>IF(B43="","",ROW()-1)</f>
      </c>
      <c r="B43" s="5"/>
      <c r="C43" s="2">
        <f>IF(B43="","",IF(C43="",NOW(),C43))</f>
      </c>
    </row>
    <row r="44">
      <c r="A44" s="4">
        <f>IF(B44="","",ROW()-1)</f>
      </c>
      <c r="B44" s="5"/>
      <c r="C44" s="2">
        <f>IF(B44="","",IF(C44="",NOW(),C44))</f>
      </c>
    </row>
    <row r="45">
      <c r="A45" s="4">
        <f>IF(B45="","",ROW()-1)</f>
      </c>
      <c r="B45" s="5"/>
      <c r="C45" s="2">
        <f>IF(B45="","",IF(C45="",NOW(),C45))</f>
      </c>
    </row>
    <row r="46">
      <c r="A46" s="4">
        <f>IF(B46="","",ROW()-1)</f>
      </c>
      <c r="B46" s="5"/>
      <c r="C46" s="2">
        <f>IF(B46="","",IF(C46="",NOW(),C46))</f>
      </c>
    </row>
    <row r="47">
      <c r="A47" s="4">
        <f>IF(B47="","",ROW()-1)</f>
      </c>
      <c r="B47" s="5"/>
      <c r="C47" s="2">
        <f>IF(B47="","",IF(C47="",NOW(),C47))</f>
      </c>
    </row>
    <row r="48">
      <c r="A48" s="4">
        <f>IF(B48="","",ROW()-1)</f>
      </c>
      <c r="B48" s="5"/>
      <c r="C48" s="2">
        <f>IF(B48="","",IF(C48="",NOW(),C48))</f>
      </c>
    </row>
    <row r="49">
      <c r="A49" s="4">
        <f>IF(B49="","",ROW()-1)</f>
      </c>
      <c r="B49" s="5"/>
      <c r="C49" s="2">
        <f>IF(B49="","",IF(C49="",NOW(),C49))</f>
      </c>
    </row>
    <row r="50">
      <c r="A50" s="4">
        <f>IF(B50="","",ROW()-1)</f>
      </c>
      <c r="B50" s="5"/>
      <c r="C50" s="2">
        <f>IF(B50="","",IF(C50="",NOW(),C50))</f>
      </c>
    </row>
    <row r="51">
      <c r="A51" s="4">
        <f>IF(B51="","",ROW()-1)</f>
      </c>
      <c r="B51" s="5"/>
      <c r="C51" s="2">
        <f>IF(B51="","",IF(C51="",NOW(),C51))</f>
      </c>
    </row>
    <row r="52">
      <c r="A52" s="4">
        <f>IF(B52="","",ROW()-1)</f>
      </c>
      <c r="B52" s="5"/>
      <c r="C52" s="2">
        <f>IF(B52="","",IF(C52="",NOW(),C52))</f>
      </c>
    </row>
    <row r="53">
      <c r="A53" s="4">
        <f>IF(B53="","",ROW()-1)</f>
      </c>
      <c r="B53" s="5"/>
      <c r="C53" s="2">
        <f>IF(B53="","",IF(C53="",NOW(),C53))</f>
      </c>
    </row>
    <row r="54">
      <c r="A54" s="4">
        <f>IF(B54="","",ROW()-1)</f>
      </c>
      <c r="B54" s="5"/>
      <c r="C54" s="2">
        <f>IF(B54="","",IF(C54="",NOW(),C54))</f>
      </c>
    </row>
    <row r="55">
      <c r="A55" s="4">
        <f>IF(B55="","",ROW()-1)</f>
      </c>
      <c r="B55" s="5"/>
      <c r="C55" s="2">
        <f>IF(B55="","",IF(C55="",NOW(),C55))</f>
      </c>
    </row>
    <row r="56">
      <c r="A56" s="4">
        <f>IF(B56="","",ROW()-1)</f>
      </c>
      <c r="B56" s="5"/>
      <c r="C56" s="2">
        <f>IF(B56="","",IF(C56="",NOW(),C56))</f>
      </c>
    </row>
    <row r="57">
      <c r="A57" s="4">
        <f>IF(B57="","",ROW()-1)</f>
      </c>
      <c r="B57" s="5"/>
      <c r="C57" s="2">
        <f>IF(B57="","",IF(C57="",NOW(),C57))</f>
      </c>
    </row>
    <row r="58">
      <c r="A58" s="4">
        <f>IF(B58="","",ROW()-1)</f>
      </c>
      <c r="B58" s="5"/>
      <c r="C58" s="2">
        <f>IF(B58="","",IF(C58="",NOW(),C58))</f>
      </c>
    </row>
    <row r="59">
      <c r="A59" s="4">
        <f>IF(B59="","",ROW()-1)</f>
      </c>
      <c r="B59" s="5"/>
      <c r="C59" s="2">
        <f>IF(B59="","",IF(C59="",NOW(),C59))</f>
      </c>
    </row>
    <row r="60">
      <c r="A60" s="4">
        <f>IF(B60="","",ROW()-1)</f>
      </c>
      <c r="B60" s="5"/>
      <c r="C60" s="2">
        <f>IF(B60="","",IF(C60="",NOW(),C60))</f>
      </c>
    </row>
    <row r="61">
      <c r="A61" s="4">
        <f>IF(B61="","",ROW()-1)</f>
      </c>
      <c r="B61" s="5"/>
      <c r="C61" s="2">
        <f>IF(B61="","",IF(C61="",NOW(),C61))</f>
      </c>
    </row>
    <row r="62">
      <c r="A62" s="4">
        <f>IF(B62="","",ROW()-1)</f>
      </c>
      <c r="B62" s="5"/>
      <c r="C62" s="2">
        <f>IF(B62="","",IF(C62="",NOW(),C62))</f>
      </c>
    </row>
    <row r="63">
      <c r="A63" s="4">
        <f>IF(B63="","",ROW()-1)</f>
      </c>
      <c r="B63" s="5"/>
      <c r="C63" s="2">
        <f>IF(B63="","",IF(C63="",NOW(),C63))</f>
      </c>
    </row>
    <row r="64">
      <c r="A64" s="4">
        <f>IF(B64="","",ROW()-1)</f>
      </c>
      <c r="B64" s="5"/>
      <c r="C64" s="2">
        <f>IF(B64="","",IF(C64="",NOW(),C64))</f>
      </c>
    </row>
    <row r="65">
      <c r="A65" s="4">
        <f>IF(B65="","",ROW()-1)</f>
      </c>
      <c r="B65" s="5"/>
      <c r="C65" s="2">
        <f>IF(B65="","",IF(C65="",NOW(),C65))</f>
      </c>
    </row>
    <row r="66">
      <c r="A66" s="4">
        <f>IF(B66="","",ROW()-1)</f>
      </c>
      <c r="B66" s="5"/>
      <c r="C66" s="2">
        <f>IF(B66="","",IF(C66="",NOW(),C66))</f>
      </c>
    </row>
    <row r="67">
      <c r="A67" s="4">
        <f>IF(B67="","",ROW()-1)</f>
      </c>
      <c r="B67" s="5"/>
      <c r="C67" s="2">
        <f>IF(B67="","",IF(C67="",NOW(),C67))</f>
      </c>
    </row>
    <row r="68">
      <c r="A68" s="4">
        <f>IF(B68="","",ROW()-1)</f>
      </c>
      <c r="B68" s="5"/>
      <c r="C68" s="2">
        <f>IF(B68="","",IF(C68="",NOW(),C68))</f>
      </c>
    </row>
    <row r="69">
      <c r="A69" s="4">
        <f>IF(B69="","",ROW()-1)</f>
      </c>
      <c r="B69" s="5"/>
      <c r="C69" s="2">
        <f>IF(B69="","",IF(C69="",NOW(),C69))</f>
      </c>
    </row>
    <row r="70">
      <c r="A70" s="4">
        <f>IF(B70="","",ROW()-1)</f>
      </c>
      <c r="B70" s="5"/>
      <c r="C70" s="2">
        <f>IF(B70="","",IF(C70="",NOW(),C70))</f>
      </c>
    </row>
    <row r="71">
      <c r="A71" s="4">
        <f>IF(B71="","",ROW()-1)</f>
      </c>
      <c r="B71" s="5"/>
      <c r="C71" s="2">
        <f>IF(B71="","",IF(C71="",NOW(),C71))</f>
      </c>
    </row>
    <row r="72">
      <c r="A72" s="4">
        <f>IF(B72="","",ROW()-1)</f>
      </c>
      <c r="B72" s="5"/>
      <c r="C72" s="2">
        <f>IF(B72="","",IF(C72="",NOW(),C72))</f>
      </c>
    </row>
    <row r="73">
      <c r="A73" s="4">
        <f>IF(B73="","",ROW()-1)</f>
      </c>
      <c r="B73" s="5"/>
      <c r="C73" s="2">
        <f>IF(B73="","",IF(C73="",NOW(),C73))</f>
      </c>
    </row>
    <row r="74">
      <c r="A74" s="4">
        <f>IF(B74="","",ROW()-1)</f>
      </c>
      <c r="B74" s="5"/>
      <c r="C74" s="2">
        <f>IF(B74="","",IF(C74="",NOW(),C74))</f>
      </c>
    </row>
    <row r="75">
      <c r="A75" s="4">
        <f>IF(B75="","",ROW()-1)</f>
      </c>
      <c r="B75" s="5"/>
      <c r="C75" s="2">
        <f>IF(B75="","",IF(C75="",NOW(),C75))</f>
      </c>
    </row>
    <row r="76">
      <c r="A76" s="4">
        <f>IF(B76="","",ROW()-1)</f>
      </c>
      <c r="B76" s="5"/>
      <c r="C76" s="2">
        <f>IF(B76="","",IF(C76="",NOW(),C76))</f>
      </c>
    </row>
    <row r="77">
      <c r="A77" s="4">
        <f>IF(B77="","",ROW()-1)</f>
      </c>
      <c r="B77" s="5"/>
      <c r="C77" s="2">
        <f>IF(B77="","",IF(C77="",NOW(),C77))</f>
      </c>
    </row>
    <row r="78">
      <c r="A78" s="4">
        <f>IF(B78="","",ROW()-1)</f>
      </c>
      <c r="B78" s="5"/>
      <c r="C78" s="2">
        <f>IF(B78="","",IF(C78="",NOW(),C78))</f>
      </c>
    </row>
    <row r="79">
      <c r="A79" s="4">
        <f>IF(B79="","",ROW()-1)</f>
      </c>
      <c r="B79" s="5"/>
      <c r="C79" s="2">
        <f>IF(B79="","",IF(C79="",NOW(),C79))</f>
      </c>
    </row>
    <row r="80">
      <c r="A80" s="4">
        <f>IF(B80="","",ROW()-1)</f>
      </c>
      <c r="B80" s="5"/>
      <c r="C80" s="2">
        <f>IF(B80="","",IF(C80="",NOW(),C80))</f>
      </c>
    </row>
    <row r="81">
      <c r="A81" s="4">
        <f>IF(B81="","",ROW()-1)</f>
      </c>
      <c r="B81" s="5"/>
      <c r="C81" s="2">
        <f>IF(B81="","",IF(C81="",NOW(),C81))</f>
      </c>
    </row>
    <row r="82">
      <c r="A82" s="4">
        <f>IF(B82="","",ROW()-1)</f>
      </c>
      <c r="B82" s="5"/>
      <c r="C82" s="2">
        <f>IF(B82="","",IF(C82="",NOW(),C82))</f>
      </c>
    </row>
    <row r="83">
      <c r="A83" s="4">
        <f>IF(B83="","",ROW()-1)</f>
      </c>
      <c r="B83" s="5"/>
      <c r="C83" s="2">
        <f>IF(B83="","",IF(C83="",NOW(),C83))</f>
      </c>
    </row>
    <row r="84">
      <c r="A84" s="4">
        <f>IF(B84="","",ROW()-1)</f>
      </c>
      <c r="B84" s="5"/>
      <c r="C84" s="2">
        <f>IF(B84="","",IF(C84="",NOW(),C84))</f>
      </c>
    </row>
    <row r="85">
      <c r="A85" s="4">
        <f>IF(B85="","",ROW()-1)</f>
      </c>
      <c r="B85" s="5"/>
      <c r="C85" s="2">
        <f>IF(B85="","",IF(C85="",NOW(),C85))</f>
      </c>
    </row>
    <row r="86">
      <c r="A86" s="4">
        <f>IF(B86="","",ROW()-1)</f>
      </c>
      <c r="B86" s="5"/>
      <c r="C86" s="2">
        <f>IF(B86="","",IF(C86="",NOW(),C86))</f>
      </c>
    </row>
    <row r="87">
      <c r="A87" s="4">
        <f>IF(B87="","",ROW()-1)</f>
      </c>
      <c r="B87" s="5"/>
      <c r="C87" s="2">
        <f>IF(B87="","",IF(C87="",NOW(),C87))</f>
      </c>
    </row>
    <row r="88">
      <c r="A88" s="4">
        <f>IF(B88="","",ROW()-1)</f>
      </c>
      <c r="B88" s="5"/>
      <c r="C88" s="2">
        <f>IF(B88="","",IF(C88="",NOW(),C88))</f>
      </c>
    </row>
    <row r="89">
      <c r="A89" s="4">
        <f>IF(B89="","",ROW()-1)</f>
      </c>
      <c r="B89" s="5"/>
      <c r="C89" s="2">
        <f>IF(B89="","",IF(C89="",NOW(),C89))</f>
      </c>
    </row>
    <row r="90">
      <c r="A90" s="4">
        <f>IF(B90="","",ROW()-1)</f>
      </c>
      <c r="B90" s="5"/>
      <c r="C90" s="2">
        <f>IF(B90="","",IF(C90="",NOW(),C90))</f>
      </c>
    </row>
    <row r="91">
      <c r="A91" s="4">
        <f>IF(B91="","",ROW()-1)</f>
      </c>
      <c r="B91" s="5"/>
      <c r="C91" s="2">
        <f>IF(B91="","",IF(C91="",NOW(),C91))</f>
      </c>
    </row>
    <row r="92">
      <c r="A92" s="4">
        <f>IF(B92="","",ROW()-1)</f>
      </c>
      <c r="B92" s="5"/>
      <c r="C92" s="2">
        <f>IF(B92="","",IF(C92="",NOW(),C92))</f>
      </c>
    </row>
    <row r="93">
      <c r="A93" s="4">
        <f>IF(B93="","",ROW()-1)</f>
      </c>
      <c r="B93" s="5"/>
      <c r="C93" s="2">
        <f>IF(B93="","",IF(C93="",NOW(),C93))</f>
      </c>
    </row>
    <row r="94">
      <c r="A94" s="4">
        <f>IF(B94="","",ROW()-1)</f>
      </c>
      <c r="B94" s="5"/>
      <c r="C94" s="2">
        <f>IF(B94="","",IF(C94="",NOW(),C94))</f>
      </c>
    </row>
    <row r="95">
      <c r="A95" s="4">
        <f>IF(B95="","",ROW()-1)</f>
      </c>
      <c r="B95" s="5"/>
      <c r="C95" s="2">
        <f>IF(B95="","",IF(C95="",NOW(),C95))</f>
      </c>
    </row>
    <row r="96">
      <c r="A96" s="4">
        <f>IF(B96="","",ROW()-1)</f>
      </c>
      <c r="B96" s="5"/>
      <c r="C96" s="2">
        <f>IF(B96="","",IF(C96="",NOW(),C96))</f>
      </c>
    </row>
    <row r="97">
      <c r="A97" s="4">
        <f>IF(B97="","",ROW()-1)</f>
      </c>
      <c r="B97" s="5"/>
      <c r="C97" s="2">
        <f>IF(B97="","",IF(C97="",NOW(),C97))</f>
      </c>
    </row>
    <row r="98">
      <c r="A98" s="4">
        <f>IF(B98="","",ROW()-1)</f>
      </c>
      <c r="B98" s="5"/>
      <c r="C98" s="2">
        <f>IF(B98="","",IF(C98="",NOW(),C98))</f>
      </c>
    </row>
    <row r="99">
      <c r="A99" s="4">
        <f>IF(B99="","",ROW()-1)</f>
      </c>
      <c r="B99" s="5"/>
      <c r="C99" s="2">
        <f>IF(B99="","",IF(C99="",NOW(),C99))</f>
      </c>
    </row>
    <row r="100">
      <c r="A100" s="4">
        <f>IF(B100="","",ROW()-1)</f>
      </c>
      <c r="B100" s="5"/>
      <c r="C100" s="2">
        <f>IF(B100="","",IF(C100="",NOW(),C100))</f>
      </c>
    </row>
    <row r="101">
      <c r="A101" s="4">
        <f>IF(B101="","",ROW()-1)</f>
      </c>
      <c r="B101" s="5"/>
      <c r="C101" s="2">
        <f>IF(B101="","",IF(C101="",NOW(),C101))</f>
      </c>
    </row>
    <row r="102">
      <c r="A102" s="4">
        <f>IF(B102="","",ROW()-1)</f>
      </c>
      <c r="B102" s="5"/>
      <c r="C102" s="2">
        <f>IF(B102="","",IF(C102="",NOW(),C102))</f>
      </c>
    </row>
    <row r="103">
      <c r="A103" s="4">
        <f>IF(B103="","",ROW()-1)</f>
      </c>
      <c r="B103" s="5"/>
      <c r="C103" s="2">
        <f>IF(B103="","",IF(C103="",NOW(),C103))</f>
      </c>
    </row>
    <row r="104">
      <c r="A104" s="4">
        <f>IF(B104="","",ROW()-1)</f>
      </c>
      <c r="B104" s="5"/>
      <c r="C104" s="2">
        <f>IF(B104="","",IF(C104="",NOW(),C104))</f>
      </c>
    </row>
    <row r="105">
      <c r="A105" s="4">
        <f>IF(B105="","",ROW()-1)</f>
      </c>
      <c r="B105" s="5"/>
      <c r="C105" s="2">
        <f>IF(B105="","",IF(C105="",NOW(),C105))</f>
      </c>
    </row>
    <row r="106">
      <c r="A106" s="4">
        <f>IF(B106="","",ROW()-1)</f>
      </c>
      <c r="B106" s="5"/>
      <c r="C106" s="2">
        <f>IF(B106="","",IF(C106="",NOW(),C106))</f>
      </c>
    </row>
    <row r="107">
      <c r="A107" s="4">
        <f>IF(B107="","",ROW()-1)</f>
      </c>
      <c r="B107" s="5"/>
      <c r="C107" s="2">
        <f>IF(B107="","",IF(C107="",NOW(),C107))</f>
      </c>
    </row>
    <row r="108">
      <c r="A108" s="4">
        <f>IF(B108="","",ROW()-1)</f>
      </c>
      <c r="B108" s="5"/>
      <c r="C108" s="2">
        <f>IF(B108="","",IF(C108="",NOW(),C108))</f>
      </c>
    </row>
    <row r="109">
      <c r="A109" s="4">
        <f>IF(B109="","",ROW()-1)</f>
      </c>
      <c r="B109" s="5"/>
      <c r="C109" s="2">
        <f>IF(B109="","",IF(C109="",NOW(),C109))</f>
      </c>
    </row>
    <row r="110">
      <c r="A110" s="4">
        <f>IF(B110="","",ROW()-1)</f>
      </c>
      <c r="B110" s="5"/>
      <c r="C110" s="2">
        <f>IF(B110="","",IF(C110="",NOW(),C110))</f>
      </c>
    </row>
    <row r="111">
      <c r="A111" s="4">
        <f>IF(B111="","",ROW()-1)</f>
      </c>
      <c r="B111" s="5"/>
      <c r="C111" s="2">
        <f>IF(B111="","",IF(C111="",NOW(),C111))</f>
      </c>
    </row>
    <row r="112">
      <c r="A112" s="4">
        <f>IF(B112="","",ROW()-1)</f>
      </c>
      <c r="B112" s="5"/>
      <c r="C112" s="2">
        <f>IF(B112="","",IF(C112="",NOW(),C112))</f>
      </c>
    </row>
    <row r="113">
      <c r="A113" s="4">
        <f>IF(B113="","",ROW()-1)</f>
      </c>
      <c r="B113" s="5"/>
      <c r="C113" s="2">
        <f>IF(B113="","",IF(C113="",NOW(),C113))</f>
      </c>
    </row>
    <row r="114">
      <c r="A114" s="4">
        <f>IF(B114="","",ROW()-1)</f>
      </c>
      <c r="B114" s="5"/>
      <c r="C114" s="2">
        <f>IF(B114="","",IF(C114="",NOW(),C114))</f>
      </c>
    </row>
    <row r="115">
      <c r="A115" s="4">
        <f>IF(B115="","",ROW()-1)</f>
      </c>
      <c r="B115" s="5"/>
      <c r="C115" s="2">
        <f>IF(B115="","",IF(C115="",NOW(),C115))</f>
      </c>
    </row>
    <row r="116">
      <c r="A116" s="4">
        <f>IF(B116="","",ROW()-1)</f>
      </c>
      <c r="B116" s="5"/>
      <c r="C116" s="2">
        <f>IF(B116="","",IF(C116="",NOW(),C116))</f>
      </c>
    </row>
    <row r="117">
      <c r="A117" s="4">
        <f>IF(B117="","",ROW()-1)</f>
      </c>
      <c r="B117" s="5"/>
      <c r="C117" s="2">
        <f>IF(B117="","",IF(C117="",NOW(),C117))</f>
      </c>
    </row>
    <row r="118">
      <c r="A118" s="4">
        <f>IF(B118="","",ROW()-1)</f>
      </c>
      <c r="B118" s="5"/>
      <c r="C118" s="2">
        <f>IF(B118="","",IF(C118="",NOW(),C118))</f>
      </c>
    </row>
    <row r="119">
      <c r="A119" s="4">
        <f>IF(B119="","",ROW()-1)</f>
      </c>
      <c r="B119" s="5"/>
      <c r="C119" s="2">
        <f>IF(B119="","",IF(C119="",NOW(),C119))</f>
      </c>
    </row>
    <row r="120">
      <c r="A120" s="4">
        <f>IF(B120="","",ROW()-1)</f>
      </c>
      <c r="B120" s="5"/>
      <c r="C120" s="2">
        <f>IF(B120="","",IF(C120="",NOW(),C120))</f>
      </c>
    </row>
    <row r="121">
      <c r="A121" s="4">
        <f>IF(B121="","",ROW()-1)</f>
      </c>
      <c r="B121" s="5"/>
      <c r="C121" s="2">
        <f>IF(B121="","",IF(C121="",NOW(),C121))</f>
      </c>
    </row>
    <row r="122">
      <c r="A122" s="4">
        <f>IF(B122="","",ROW()-1)</f>
      </c>
      <c r="B122" s="5"/>
      <c r="C122" s="2">
        <f>IF(B122="","",IF(C122="",NOW(),C122))</f>
      </c>
    </row>
    <row r="123">
      <c r="A123" s="4">
        <f>IF(B123="","",ROW()-1)</f>
      </c>
      <c r="B123" s="5"/>
      <c r="C123" s="2">
        <f>IF(B123="","",IF(C123="",NOW(),C123))</f>
      </c>
    </row>
    <row r="124">
      <c r="A124" s="4">
        <f>IF(B124="","",ROW()-1)</f>
      </c>
      <c r="B124" s="5"/>
      <c r="C124" s="2">
        <f>IF(B124="","",IF(C124="",NOW(),C124))</f>
      </c>
    </row>
    <row r="125">
      <c r="A125" s="4">
        <f>IF(B125="","",ROW()-1)</f>
      </c>
      <c r="B125" s="5"/>
      <c r="C125" s="2">
        <f>IF(B125="","",IF(C125="",NOW(),C125))</f>
      </c>
    </row>
    <row r="126">
      <c r="A126" s="4">
        <f>IF(B126="","",ROW()-1)</f>
      </c>
      <c r="B126" s="5"/>
      <c r="C126" s="2">
        <f>IF(B126="","",IF(C126="",NOW(),C126))</f>
      </c>
    </row>
    <row r="127">
      <c r="A127" s="4">
        <f>IF(B127="","",ROW()-1)</f>
      </c>
      <c r="B127" s="5"/>
      <c r="C127" s="2">
        <f>IF(B127="","",IF(C127="",NOW(),C127))</f>
      </c>
    </row>
    <row r="128">
      <c r="A128" s="4">
        <f>IF(B128="","",ROW()-1)</f>
      </c>
      <c r="B128" s="5"/>
      <c r="C128" s="2">
        <f>IF(B128="","",IF(C128="",NOW(),C128))</f>
      </c>
    </row>
    <row r="129">
      <c r="A129" s="4">
        <f>IF(B129="","",ROW()-1)</f>
      </c>
      <c r="B129" s="5"/>
      <c r="C129" s="2">
        <f>IF(B129="","",IF(C129="",NOW(),C129))</f>
      </c>
    </row>
    <row r="130">
      <c r="A130" s="4">
        <f>IF(B130="","",ROW()-1)</f>
      </c>
      <c r="B130" s="5"/>
      <c r="C130" s="2">
        <f>IF(B130="","",IF(C130="",NOW(),C130))</f>
      </c>
    </row>
    <row r="131">
      <c r="A131" s="4">
        <f>IF(B131="","",ROW()-1)</f>
      </c>
      <c r="B131" s="5"/>
      <c r="C131" s="2">
        <f>IF(B131="","",IF(C131="",NOW(),C131))</f>
      </c>
    </row>
    <row r="132">
      <c r="A132" s="4">
        <f>IF(B132="","",ROW()-1)</f>
      </c>
      <c r="B132" s="5"/>
      <c r="C132" s="2">
        <f>IF(B132="","",IF(C132="",NOW(),C132))</f>
      </c>
    </row>
    <row r="133">
      <c r="A133" s="4">
        <f>IF(B133="","",ROW()-1)</f>
      </c>
      <c r="B133" s="5"/>
      <c r="C133" s="2">
        <f>IF(B133="","",IF(C133="",NOW(),C133))</f>
      </c>
    </row>
    <row r="134">
      <c r="A134" s="4">
        <f>IF(B134="","",ROW()-1)</f>
      </c>
      <c r="B134" s="5"/>
      <c r="C134" s="2">
        <f>IF(B134="","",IF(C134="",NOW(),C134))</f>
      </c>
    </row>
    <row r="135">
      <c r="A135" s="4">
        <f>IF(B135="","",ROW()-1)</f>
      </c>
      <c r="B135" s="5"/>
      <c r="C135" s="2">
        <f>IF(B135="","",IF(C135="",NOW(),C135))</f>
      </c>
    </row>
    <row r="136">
      <c r="A136" s="4">
        <f>IF(B136="","",ROW()-1)</f>
      </c>
      <c r="B136" s="5"/>
      <c r="C136" s="2">
        <f>IF(B136="","",IF(C136="",NOW(),C136))</f>
      </c>
    </row>
    <row r="137">
      <c r="A137" s="4">
        <f>IF(B137="","",ROW()-1)</f>
      </c>
      <c r="B137" s="5"/>
      <c r="C137" s="2">
        <f>IF(B137="","",IF(C137="",NOW(),C137))</f>
      </c>
    </row>
    <row r="138">
      <c r="A138" s="4">
        <f>IF(B138="","",ROW()-1)</f>
      </c>
      <c r="B138" s="5"/>
      <c r="C138" s="2">
        <f>IF(B138="","",IF(C138="",NOW(),C138))</f>
      </c>
    </row>
    <row r="139">
      <c r="A139" s="4">
        <f>IF(B139="","",ROW()-1)</f>
      </c>
      <c r="B139" s="5"/>
      <c r="C139" s="2">
        <f>IF(B139="","",IF(C139="",NOW(),C139))</f>
      </c>
    </row>
    <row r="140">
      <c r="A140" s="4">
        <f>IF(B140="","",ROW()-1)</f>
      </c>
      <c r="B140" s="5"/>
      <c r="C140" s="2">
        <f>IF(B140="","",IF(C140="",NOW(),C140))</f>
      </c>
    </row>
    <row r="141">
      <c r="A141" s="4">
        <f>IF(B141="","",ROW()-1)</f>
      </c>
      <c r="B141" s="5"/>
      <c r="C141" s="2">
        <f>IF(B141="","",IF(C141="",NOW(),C141))</f>
      </c>
    </row>
    <row r="142">
      <c r="A142" s="4">
        <f>IF(B142="","",ROW()-1)</f>
      </c>
      <c r="B142" s="5"/>
      <c r="C142" s="2">
        <f>IF(B142="","",IF(C142="",NOW(),C142))</f>
      </c>
    </row>
    <row r="143">
      <c r="A143" s="4">
        <f>IF(B143="","",ROW()-1)</f>
      </c>
      <c r="B143" s="5"/>
      <c r="C143" s="2">
        <f>IF(B143="","",IF(C143="",NOW(),C143))</f>
      </c>
    </row>
    <row r="144">
      <c r="A144" s="4">
        <f>IF(B144="","",ROW()-1)</f>
      </c>
      <c r="B144" s="5"/>
      <c r="C144" s="2">
        <f>IF(B144="","",IF(C144="",NOW(),C144))</f>
      </c>
    </row>
    <row r="145">
      <c r="A145" s="4">
        <f>IF(B145="","",ROW()-1)</f>
      </c>
      <c r="B145" s="5"/>
      <c r="C145" s="2">
        <f>IF(B145="","",IF(C145="",NOW(),C145))</f>
      </c>
    </row>
    <row r="146">
      <c r="A146" s="4">
        <f>IF(B146="","",ROW()-1)</f>
      </c>
      <c r="B146" s="5"/>
      <c r="C146" s="2">
        <f>IF(B146="","",IF(C146="",NOW(),C146))</f>
      </c>
    </row>
    <row r="147">
      <c r="A147" s="4">
        <f>IF(B147="","",ROW()-1)</f>
      </c>
      <c r="B147" s="5"/>
      <c r="C147" s="2">
        <f>IF(B147="","",IF(C147="",NOW(),C147))</f>
      </c>
    </row>
    <row r="148">
      <c r="A148" s="4">
        <f>IF(B148="","",ROW()-1)</f>
      </c>
      <c r="B148" s="5"/>
      <c r="C148" s="2">
        <f>IF(B148="","",IF(C148="",NOW(),C148))</f>
      </c>
    </row>
    <row r="149">
      <c r="A149" s="4">
        <f>IF(B149="","",ROW()-1)</f>
      </c>
      <c r="B149" s="5"/>
      <c r="C149" s="2">
        <f>IF(B149="","",IF(C149="",NOW(),C149))</f>
      </c>
    </row>
    <row r="150">
      <c r="A150" s="4">
        <f>IF(B150="","",ROW()-1)</f>
      </c>
      <c r="B150" s="5"/>
      <c r="C150" s="2">
        <f>IF(B150="","",IF(C150="",NOW(),C150))</f>
      </c>
    </row>
    <row r="151">
      <c r="A151" s="4">
        <f>IF(B151="","",ROW()-1)</f>
      </c>
      <c r="B151" s="5"/>
      <c r="C151" s="2">
        <f>IF(B151="","",IF(C151="",NOW(),C151))</f>
      </c>
    </row>
    <row r="152">
      <c r="A152" s="4">
        <f>IF(B152="","",ROW()-1)</f>
      </c>
      <c r="B152" s="5"/>
      <c r="C152" s="2">
        <f>IF(B152="","",IF(C152="",NOW(),C152))</f>
      </c>
    </row>
    <row r="153">
      <c r="A153" s="4">
        <f>IF(B153="","",ROW()-1)</f>
      </c>
      <c r="B153" s="5"/>
      <c r="C153" s="2">
        <f>IF(B153="","",IF(C153="",NOW(),C153))</f>
      </c>
    </row>
    <row r="154">
      <c r="A154" s="4">
        <f>IF(B154="","",ROW()-1)</f>
      </c>
      <c r="B154" s="5"/>
      <c r="C154" s="2">
        <f>IF(B154="","",IF(C154="",NOW(),C154))</f>
      </c>
    </row>
    <row r="155">
      <c r="A155" s="4">
        <f>IF(B155="","",ROW()-1)</f>
      </c>
      <c r="B155" s="5"/>
      <c r="C155" s="2">
        <f>IF(B155="","",IF(C155="",NOW(),C155))</f>
      </c>
    </row>
    <row r="156">
      <c r="A156" s="4">
        <f>IF(B156="","",ROW()-1)</f>
      </c>
      <c r="B156" s="5"/>
      <c r="C156" s="2">
        <f>IF(B156="","",IF(C156="",NOW(),C156))</f>
      </c>
    </row>
    <row r="157">
      <c r="A157" s="4">
        <f>IF(B157="","",ROW()-1)</f>
      </c>
      <c r="B157" s="5"/>
      <c r="C157" s="2">
        <f>IF(B157="","",IF(C157="",NOW(),C157))</f>
      </c>
    </row>
    <row r="158">
      <c r="A158" s="4">
        <f>IF(B158="","",ROW()-1)</f>
      </c>
      <c r="B158" s="5"/>
      <c r="C158" s="2">
        <f>IF(B158="","",IF(C158="",NOW(),C158))</f>
      </c>
    </row>
    <row r="159">
      <c r="A159" s="4">
        <f>IF(B159="","",ROW()-1)</f>
      </c>
      <c r="B159" s="5"/>
      <c r="C159" s="2">
        <f>IF(B159="","",IF(C159="",NOW(),C159))</f>
      </c>
    </row>
    <row r="160">
      <c r="A160" s="4">
        <f>IF(B160="","",ROW()-1)</f>
      </c>
      <c r="B160" s="5"/>
      <c r="C160" s="2">
        <f>IF(B160="","",IF(C160="",NOW(),C160))</f>
      </c>
    </row>
    <row r="161">
      <c r="A161" s="4">
        <f>IF(B161="","",ROW()-1)</f>
      </c>
      <c r="B161" s="5"/>
      <c r="C161" s="2">
        <f>IF(B161="","",IF(C161="",NOW(),C161))</f>
      </c>
    </row>
    <row r="162">
      <c r="A162" s="4">
        <f>IF(B162="","",ROW()-1)</f>
      </c>
      <c r="B162" s="5"/>
      <c r="C162" s="2">
        <f>IF(B162="","",IF(C162="",NOW(),C162))</f>
      </c>
    </row>
    <row r="163">
      <c r="A163" s="4">
        <f>IF(B163="","",ROW()-1)</f>
      </c>
      <c r="B163" s="5"/>
      <c r="C163" s="2">
        <f>IF(B163="","",IF(C163="",NOW(),C163))</f>
      </c>
    </row>
    <row r="164">
      <c r="A164" s="4">
        <f>IF(B164="","",ROW()-1)</f>
      </c>
      <c r="B164" s="5"/>
      <c r="C164" s="2">
        <f>IF(B164="","",IF(C164="",NOW(),C164))</f>
      </c>
    </row>
    <row r="165">
      <c r="A165" s="4">
        <f>IF(B165="","",ROW()-1)</f>
      </c>
      <c r="B165" s="5"/>
      <c r="C165" s="2">
        <f>IF(B165="","",IF(C165="",NOW(),C165))</f>
      </c>
    </row>
    <row r="166">
      <c r="A166" s="4">
        <f>IF(B166="","",ROW()-1)</f>
      </c>
      <c r="B166" s="5"/>
      <c r="C166" s="2">
        <f>IF(B166="","",IF(C166="",NOW(),C166))</f>
      </c>
    </row>
    <row r="167">
      <c r="A167" s="4">
        <f>IF(B167="","",ROW()-1)</f>
      </c>
      <c r="B167" s="5"/>
      <c r="C167" s="2">
        <f>IF(B167="","",IF(C167="",NOW(),C167))</f>
      </c>
    </row>
    <row r="168">
      <c r="A168" s="4">
        <f>IF(B168="","",ROW()-1)</f>
      </c>
      <c r="B168" s="5"/>
      <c r="C168" s="2">
        <f>IF(B168="","",IF(C168="",NOW(),C168))</f>
      </c>
    </row>
    <row r="169">
      <c r="A169" s="4">
        <f>IF(B169="","",ROW()-1)</f>
      </c>
      <c r="B169" s="5"/>
      <c r="C169" s="2">
        <f>IF(B169="","",IF(C169="",NOW(),C169))</f>
      </c>
    </row>
    <row r="170">
      <c r="A170" s="4">
        <f>IF(B170="","",ROW()-1)</f>
      </c>
      <c r="B170" s="5"/>
      <c r="C170" s="2">
        <f>IF(B170="","",IF(C170="",NOW(),C170))</f>
      </c>
    </row>
    <row r="171">
      <c r="A171" s="4">
        <f>IF(B171="","",ROW()-1)</f>
      </c>
      <c r="B171" s="5"/>
      <c r="C171" s="2">
        <f>IF(B171="","",IF(C171="",NOW(),C171))</f>
      </c>
    </row>
    <row r="172">
      <c r="A172" s="4">
        <f>IF(B172="","",ROW()-1)</f>
      </c>
      <c r="B172" s="5"/>
      <c r="C172" s="2">
        <f>IF(B172="","",IF(C172="",NOW(),C172))</f>
      </c>
    </row>
    <row r="173">
      <c r="A173" s="4">
        <f>IF(B173="","",ROW()-1)</f>
      </c>
      <c r="B173" s="5"/>
      <c r="C173" s="2">
        <f>IF(B173="","",IF(C173="",NOW(),C173))</f>
      </c>
    </row>
    <row r="174">
      <c r="A174" s="4">
        <f>IF(B174="","",ROW()-1)</f>
      </c>
      <c r="B174" s="5"/>
      <c r="C174" s="2">
        <f>IF(B174="","",IF(C174="",NOW(),C174))</f>
      </c>
    </row>
    <row r="175">
      <c r="A175" s="4">
        <f>IF(B175="","",ROW()-1)</f>
      </c>
      <c r="B175" s="5"/>
      <c r="C175" s="2">
        <f>IF(B175="","",IF(C175="",NOW(),C175))</f>
      </c>
    </row>
    <row r="176">
      <c r="A176" s="4">
        <f>IF(B176="","",ROW()-1)</f>
      </c>
      <c r="B176" s="5"/>
      <c r="C176" s="2">
        <f>IF(B176="","",IF(C176="",NOW(),C176))</f>
      </c>
    </row>
    <row r="177">
      <c r="A177" s="4">
        <f>IF(B177="","",ROW()-1)</f>
      </c>
      <c r="B177" s="5"/>
      <c r="C177" s="2">
        <f>IF(B177="","",IF(C177="",NOW(),C177))</f>
      </c>
    </row>
    <row r="178">
      <c r="A178" s="4">
        <f>IF(B178="","",ROW()-1)</f>
      </c>
      <c r="B178" s="5"/>
      <c r="C178" s="2">
        <f>IF(B178="","",IF(C178="",NOW(),C178))</f>
      </c>
    </row>
    <row r="179">
      <c r="A179" s="4">
        <f>IF(B179="","",ROW()-1)</f>
      </c>
      <c r="B179" s="5"/>
      <c r="C179" s="2">
        <f>IF(B179="","",IF(C179="",NOW(),C179))</f>
      </c>
    </row>
    <row r="180">
      <c r="A180" s="4">
        <f>IF(B180="","",ROW()-1)</f>
      </c>
      <c r="B180" s="5"/>
      <c r="C180" s="2">
        <f>IF(B180="","",IF(C180="",NOW(),C180))</f>
      </c>
    </row>
    <row r="181">
      <c r="A181" s="4">
        <f>IF(B181="","",ROW()-1)</f>
      </c>
      <c r="B181" s="5"/>
      <c r="C181" s="2">
        <f>IF(B181="","",IF(C181="",NOW(),C181))</f>
      </c>
    </row>
    <row r="182">
      <c r="A182" s="4">
        <f>IF(B182="","",ROW()-1)</f>
      </c>
      <c r="B182" s="5"/>
      <c r="C182" s="2">
        <f>IF(B182="","",IF(C182="",NOW(),C182))</f>
      </c>
    </row>
    <row r="183">
      <c r="A183" s="4">
        <f>IF(B183="","",ROW()-1)</f>
      </c>
      <c r="B183" s="5"/>
      <c r="C183" s="2">
        <f>IF(B183="","",IF(C183="",NOW(),C183))</f>
      </c>
    </row>
    <row r="184">
      <c r="A184" s="4">
        <f>IF(B184="","",ROW()-1)</f>
      </c>
      <c r="B184" s="5"/>
      <c r="C184" s="2">
        <f>IF(B184="","",IF(C184="",NOW(),C184))</f>
      </c>
    </row>
    <row r="185">
      <c r="A185" s="4">
        <f>IF(B185="","",ROW()-1)</f>
      </c>
      <c r="B185" s="5"/>
      <c r="C185" s="2">
        <f>IF(B185="","",IF(C185="",NOW(),C185))</f>
      </c>
    </row>
    <row r="186">
      <c r="A186" s="4">
        <f>IF(B186="","",ROW()-1)</f>
      </c>
      <c r="B186" s="5"/>
      <c r="C186" s="2">
        <f>IF(B186="","",IF(C186="",NOW(),C186))</f>
      </c>
    </row>
    <row r="187">
      <c r="A187" s="4">
        <f>IF(B187="","",ROW()-1)</f>
      </c>
      <c r="B187" s="5"/>
      <c r="C187" s="2">
        <f>IF(B187="","",IF(C187="",NOW(),C187))</f>
      </c>
    </row>
    <row r="188">
      <c r="A188" s="4">
        <f>IF(B188="","",ROW()-1)</f>
      </c>
      <c r="B188" s="5"/>
      <c r="C188" s="2">
        <f>IF(B188="","",IF(C188="",NOW(),C188))</f>
      </c>
    </row>
    <row r="189">
      <c r="A189" s="4">
        <f>IF(B189="","",ROW()-1)</f>
      </c>
      <c r="B189" s="5"/>
      <c r="C189" s="2">
        <f>IF(B189="","",IF(C189="",NOW(),C189))</f>
      </c>
    </row>
    <row r="190">
      <c r="A190" s="4">
        <f>IF(B190="","",ROW()-1)</f>
      </c>
      <c r="B190" s="5"/>
      <c r="C190" s="2">
        <f>IF(B190="","",IF(C190="",NOW(),C190))</f>
      </c>
    </row>
    <row r="191">
      <c r="A191" s="4">
        <f>IF(B191="","",ROW()-1)</f>
      </c>
      <c r="B191" s="5"/>
      <c r="C191" s="2">
        <f>IF(B191="","",IF(C191="",NOW(),C191))</f>
      </c>
    </row>
    <row r="192">
      <c r="A192" s="4">
        <f>IF(B192="","",ROW()-1)</f>
      </c>
      <c r="B192" s="5"/>
      <c r="C192" s="2">
        <f>IF(B192="","",IF(C192="",NOW(),C192))</f>
      </c>
    </row>
    <row r="193">
      <c r="A193" s="4">
        <f>IF(B193="","",ROW()-1)</f>
      </c>
      <c r="B193" s="5"/>
      <c r="C193" s="2">
        <f>IF(B193="","",IF(C193="",NOW(),C193))</f>
      </c>
    </row>
    <row r="194">
      <c r="A194" s="4">
        <f>IF(B194="","",ROW()-1)</f>
      </c>
      <c r="B194" s="5"/>
      <c r="C194" s="2">
        <f>IF(B194="","",IF(C194="",NOW(),C194))</f>
      </c>
    </row>
    <row r="195">
      <c r="A195" s="4">
        <f>IF(B195="","",ROW()-1)</f>
      </c>
      <c r="B195" s="5"/>
      <c r="C195" s="2">
        <f>IF(B195="","",IF(C195="",NOW(),C195))</f>
      </c>
    </row>
    <row r="196">
      <c r="A196" s="4">
        <f>IF(B196="","",ROW()-1)</f>
      </c>
      <c r="B196" s="5"/>
      <c r="C196" s="2">
        <f>IF(B196="","",IF(C196="",NOW(),C196))</f>
      </c>
    </row>
    <row r="197">
      <c r="A197" s="4">
        <f>IF(B197="","",ROW()-1)</f>
      </c>
      <c r="B197" s="5"/>
      <c r="C197" s="2">
        <f>IF(B197="","",IF(C197="",NOW(),C197))</f>
      </c>
    </row>
    <row r="198">
      <c r="A198" s="4">
        <f>IF(B198="","",ROW()-1)</f>
      </c>
      <c r="B198" s="5"/>
      <c r="C198" s="2">
        <f>IF(B198="","",IF(C198="",NOW(),C198))</f>
      </c>
    </row>
    <row r="199">
      <c r="A199" s="4">
        <f>IF(B199="","",ROW()-1)</f>
      </c>
      <c r="B199" s="5"/>
      <c r="C199" s="2">
        <f>IF(B199="","",IF(C199="",NOW(),C199))</f>
      </c>
    </row>
    <row r="200">
      <c r="A200" s="4">
        <f>IF(B200="","",ROW()-1)</f>
      </c>
      <c r="B200" s="5"/>
      <c r="C200" s="2">
        <f>IF(B200="","",IF(C200="",NOW(),C200))</f>
      </c>
    </row>
    <row r="201">
      <c r="A201" s="4">
        <f>IF(B201="","",ROW()-1)</f>
      </c>
      <c r="B201" s="5"/>
      <c r="C201" s="2">
        <f>IF(B201="","",IF(C201="",NOW(),C201))</f>
      </c>
    </row>
    <row r="202">
      <c r="A202" s="4">
        <f>IF(B202="","",ROW()-1)</f>
      </c>
      <c r="B202" s="5"/>
      <c r="C202" s="2">
        <f>IF(B202="","",IF(C202="",NOW(),C202))</f>
      </c>
    </row>
    <row r="203">
      <c r="A203" s="4">
        <f>IF(B203="","",ROW()-1)</f>
      </c>
      <c r="B203" s="5"/>
      <c r="C203" s="2">
        <f>IF(B203="","",IF(C203="",NOW(),C203))</f>
      </c>
    </row>
    <row r="204">
      <c r="A204" s="4">
        <f>IF(B204="","",ROW()-1)</f>
      </c>
      <c r="B204" s="5"/>
      <c r="C204" s="2">
        <f>IF(B204="","",IF(C204="",NOW(),C204))</f>
      </c>
    </row>
    <row r="205">
      <c r="A205" s="4">
        <f>IF(B205="","",ROW()-1)</f>
      </c>
      <c r="B205" s="5"/>
      <c r="C205" s="2">
        <f>IF(B205="","",IF(C205="",NOW(),C205))</f>
      </c>
    </row>
    <row r="206">
      <c r="A206" s="4">
        <f>IF(B206="","",ROW()-1)</f>
      </c>
      <c r="B206" s="5"/>
      <c r="C206" s="2">
        <f>IF(B206="","",IF(C206="",NOW(),C206))</f>
      </c>
    </row>
    <row r="207">
      <c r="A207" s="4">
        <f>IF(B207="","",ROW()-1)</f>
      </c>
      <c r="B207" s="5"/>
      <c r="C207" s="2">
        <f>IF(B207="","",IF(C207="",NOW(),C207))</f>
      </c>
    </row>
    <row r="208">
      <c r="A208" s="4">
        <f>IF(B208="","",ROW()-1)</f>
      </c>
      <c r="B208" s="5"/>
      <c r="C208" s="2">
        <f>IF(B208="","",IF(C208="",NOW(),C208))</f>
      </c>
    </row>
    <row r="209">
      <c r="A209" s="4">
        <f>IF(B209="","",ROW()-1)</f>
      </c>
      <c r="B209" s="5"/>
      <c r="C209" s="2">
        <f>IF(B209="","",IF(C209="",NOW(),C209))</f>
      </c>
    </row>
    <row r="210">
      <c r="A210" s="4">
        <f>IF(B210="","",ROW()-1)</f>
      </c>
      <c r="B210" s="5"/>
      <c r="C210" s="2">
        <f>IF(B210="","",IF(C210="",NOW(),C210))</f>
      </c>
    </row>
    <row r="211">
      <c r="A211" s="4">
        <f>IF(B211="","",ROW()-1)</f>
      </c>
      <c r="B211" s="5"/>
      <c r="C211" s="2">
        <f>IF(B211="","",IF(C211="",NOW(),C211))</f>
      </c>
    </row>
    <row r="212">
      <c r="A212" s="4">
        <f>IF(B212="","",ROW()-1)</f>
      </c>
      <c r="B212" s="5"/>
      <c r="C212" s="2">
        <f>IF(B212="","",IF(C212="",NOW(),C212))</f>
      </c>
    </row>
    <row r="213">
      <c r="A213" s="4">
        <f>IF(B213="","",ROW()-1)</f>
      </c>
      <c r="B213" s="5"/>
      <c r="C213" s="2">
        <f>IF(B213="","",IF(C213="",NOW(),C213))</f>
      </c>
    </row>
    <row r="214">
      <c r="A214" s="4">
        <f>IF(B214="","",ROW()-1)</f>
      </c>
      <c r="B214" s="5"/>
      <c r="C214" s="2">
        <f>IF(B214="","",IF(C214="",NOW(),C214))</f>
      </c>
    </row>
    <row r="215">
      <c r="A215" s="4">
        <f>IF(B215="","",ROW()-1)</f>
      </c>
      <c r="B215" s="5"/>
      <c r="C215" s="2">
        <f>IF(B215="","",IF(C215="",NOW(),C215))</f>
      </c>
    </row>
    <row r="216">
      <c r="A216" s="4">
        <f>IF(B216="","",ROW()-1)</f>
      </c>
      <c r="B216" s="5"/>
      <c r="C216" s="2">
        <f>IF(B216="","",IF(C216="",NOW(),C216))</f>
      </c>
    </row>
    <row r="217">
      <c r="A217" s="4">
        <f>IF(B217="","",ROW()-1)</f>
      </c>
      <c r="B217" s="5"/>
      <c r="C217" s="2">
        <f>IF(B217="","",IF(C217="",NOW(),C217))</f>
      </c>
    </row>
    <row r="218">
      <c r="A218" s="4">
        <f>IF(B218="","",ROW()-1)</f>
      </c>
      <c r="B218" s="5"/>
      <c r="C218" s="2">
        <f>IF(B218="","",IF(C218="",NOW(),C218))</f>
      </c>
    </row>
    <row r="219">
      <c r="A219" s="4">
        <f>IF(B219="","",ROW()-1)</f>
      </c>
      <c r="B219" s="5"/>
      <c r="C219" s="2">
        <f>IF(B219="","",IF(C219="",NOW(),C219))</f>
      </c>
    </row>
    <row r="220">
      <c r="A220" s="4">
        <f>IF(B220="","",ROW()-1)</f>
      </c>
      <c r="B220" s="5"/>
      <c r="C220" s="2">
        <f>IF(B220="","",IF(C220="",NOW(),C220))</f>
      </c>
    </row>
    <row r="221">
      <c r="A221" s="4">
        <f>IF(B221="","",ROW()-1)</f>
      </c>
      <c r="B221" s="5"/>
      <c r="C221" s="2">
        <f>IF(B221="","",IF(C221="",NOW(),C221))</f>
      </c>
    </row>
    <row r="222">
      <c r="A222" s="4">
        <f>IF(B222="","",ROW()-1)</f>
      </c>
      <c r="B222" s="5"/>
      <c r="C222" s="2">
        <f>IF(B222="","",IF(C222="",NOW(),C222))</f>
      </c>
    </row>
    <row r="223">
      <c r="A223" s="4">
        <f>IF(B223="","",ROW()-1)</f>
      </c>
      <c r="B223" s="5"/>
      <c r="C223" s="2">
        <f>IF(B223="","",IF(C223="",NOW(),C223))</f>
      </c>
    </row>
    <row r="224">
      <c r="A224" s="4">
        <f>IF(B224="","",ROW()-1)</f>
      </c>
      <c r="B224" s="5"/>
      <c r="C224" s="2">
        <f>IF(B224="","",IF(C224="",NOW(),C224))</f>
      </c>
    </row>
    <row r="225">
      <c r="A225" s="4">
        <f>IF(B225="","",ROW()-1)</f>
      </c>
      <c r="B225" s="5"/>
      <c r="C225" s="2">
        <f>IF(B225="","",IF(C225="",NOW(),C225))</f>
      </c>
    </row>
    <row r="226">
      <c r="A226" s="4">
        <f>IF(B226="","",ROW()-1)</f>
      </c>
      <c r="B226" s="5"/>
      <c r="C226" s="2">
        <f>IF(B226="","",IF(C226="",NOW(),C226))</f>
      </c>
    </row>
    <row r="227">
      <c r="A227" s="4">
        <f>IF(B227="","",ROW()-1)</f>
      </c>
      <c r="B227" s="5"/>
      <c r="C227" s="2">
        <f>IF(B227="","",IF(C227="",NOW(),C227))</f>
      </c>
    </row>
    <row r="228">
      <c r="A228" s="4">
        <f>IF(B228="","",ROW()-1)</f>
      </c>
      <c r="B228" s="5"/>
      <c r="C228" s="2">
        <f>IF(B228="","",IF(C228="",NOW(),C228))</f>
      </c>
    </row>
    <row r="229">
      <c r="A229" s="4">
        <f>IF(B229="","",ROW()-1)</f>
      </c>
      <c r="B229" s="5"/>
      <c r="C229" s="2">
        <f>IF(B229="","",IF(C229="",NOW(),C229))</f>
      </c>
    </row>
    <row r="230">
      <c r="A230" s="4">
        <f>IF(B230="","",ROW()-1)</f>
      </c>
      <c r="B230" s="5"/>
      <c r="C230" s="2">
        <f>IF(B230="","",IF(C230="",NOW(),C230))</f>
      </c>
    </row>
    <row r="231">
      <c r="A231" s="4">
        <f>IF(B231="","",ROW()-1)</f>
      </c>
      <c r="B231" s="5"/>
      <c r="C231" s="2">
        <f>IF(B231="","",IF(C231="",NOW(),C231))</f>
      </c>
    </row>
    <row r="232">
      <c r="A232" s="4">
        <f>IF(B232="","",ROW()-1)</f>
      </c>
      <c r="B232" s="5"/>
      <c r="C232" s="2">
        <f>IF(B232="","",IF(C232="",NOW(),C232))</f>
      </c>
    </row>
    <row r="233">
      <c r="A233" s="4">
        <f>IF(B233="","",ROW()-1)</f>
      </c>
      <c r="B233" s="5"/>
      <c r="C233" s="2">
        <f>IF(B233="","",IF(C233="",NOW(),C233))</f>
      </c>
    </row>
    <row r="234">
      <c r="A234" s="4">
        <f>IF(B234="","",ROW()-1)</f>
      </c>
      <c r="B234" s="5"/>
      <c r="C234" s="2">
        <f>IF(B234="","",IF(C234="",NOW(),C234))</f>
      </c>
    </row>
    <row r="235">
      <c r="A235" s="4">
        <f>IF(B235="","",ROW()-1)</f>
      </c>
      <c r="B235" s="5"/>
      <c r="C235" s="2">
        <f>IF(B235="","",IF(C235="",NOW(),C235))</f>
      </c>
    </row>
    <row r="236">
      <c r="A236" s="4">
        <f>IF(B236="","",ROW()-1)</f>
      </c>
      <c r="B236" s="5"/>
      <c r="C236" s="2">
        <f>IF(B236="","",IF(C236="",NOW(),C236))</f>
      </c>
    </row>
    <row r="237">
      <c r="A237" s="4">
        <f>IF(B237="","",ROW()-1)</f>
      </c>
      <c r="B237" s="5"/>
      <c r="C237" s="2">
        <f>IF(B237="","",IF(C237="",NOW(),C237))</f>
      </c>
    </row>
    <row r="238">
      <c r="A238" s="4">
        <f>IF(B238="","",ROW()-1)</f>
      </c>
      <c r="B238" s="5"/>
      <c r="C238" s="2">
        <f>IF(B238="","",IF(C238="",NOW(),C238))</f>
      </c>
    </row>
    <row r="239">
      <c r="A239" s="4">
        <f>IF(B239="","",ROW()-1)</f>
      </c>
      <c r="B239" s="5"/>
      <c r="C239" s="2">
        <f>IF(B239="","",IF(C239="",NOW(),C239))</f>
      </c>
    </row>
    <row r="240">
      <c r="A240" s="4">
        <f>IF(B240="","",ROW()-1)</f>
      </c>
      <c r="B240" s="5"/>
      <c r="C240" s="2">
        <f>IF(B240="","",IF(C240="",NOW(),C240))</f>
      </c>
    </row>
    <row r="241">
      <c r="A241" s="4">
        <f>IF(B241="","",ROW()-1)</f>
      </c>
      <c r="B241" s="5"/>
      <c r="C241" s="2">
        <f>IF(B241="","",IF(C241="",NOW(),C241))</f>
      </c>
    </row>
    <row r="242">
      <c r="A242" s="4">
        <f>IF(B242="","",ROW()-1)</f>
      </c>
      <c r="B242" s="5"/>
      <c r="C242" s="2">
        <f>IF(B242="","",IF(C242="",NOW(),C242))</f>
      </c>
    </row>
    <row r="243">
      <c r="A243" s="4">
        <f>IF(B243="","",ROW()-1)</f>
      </c>
      <c r="B243" s="5"/>
      <c r="C243" s="2">
        <f>IF(B243="","",IF(C243="",NOW(),C243))</f>
      </c>
    </row>
    <row r="244">
      <c r="A244" s="4">
        <f>IF(B244="","",ROW()-1)</f>
      </c>
      <c r="B244" s="5"/>
      <c r="C244" s="2">
        <f>IF(B244="","",IF(C244="",NOW(),C244))</f>
      </c>
    </row>
    <row r="245">
      <c r="A245" s="4">
        <f>IF(B245="","",ROW()-1)</f>
      </c>
      <c r="B245" s="5"/>
      <c r="C245" s="2">
        <f>IF(B245="","",IF(C245="",NOW(),C245))</f>
      </c>
    </row>
    <row r="246">
      <c r="A246" s="4">
        <f>IF(B246="","",ROW()-1)</f>
      </c>
      <c r="B246" s="5"/>
      <c r="C246" s="2">
        <f>IF(B246="","",IF(C246="",NOW(),C246))</f>
      </c>
    </row>
    <row r="247">
      <c r="A247" s="4">
        <f>IF(B247="","",ROW()-1)</f>
      </c>
      <c r="B247" s="5"/>
      <c r="C247" s="2">
        <f>IF(B247="","",IF(C247="",NOW(),C247))</f>
      </c>
    </row>
    <row r="248">
      <c r="A248" s="4">
        <f>IF(B248="","",ROW()-1)</f>
      </c>
      <c r="B248" s="5"/>
      <c r="C248" s="2">
        <f>IF(B248="","",IF(C248="",NOW(),C248))</f>
      </c>
    </row>
    <row r="249">
      <c r="A249" s="4">
        <f>IF(B249="","",ROW()-1)</f>
      </c>
      <c r="B249" s="5"/>
      <c r="C249" s="2">
        <f>IF(B249="","",IF(C249="",NOW(),C249))</f>
      </c>
    </row>
    <row r="250">
      <c r="A250" s="4">
        <f>IF(B250="","",ROW()-1)</f>
      </c>
      <c r="B250" s="5"/>
      <c r="C250" s="2">
        <f>IF(B250="","",IF(C250="",NOW(),C250))</f>
      </c>
    </row>
    <row r="251">
      <c r="A251" s="4">
        <f>IF(B251="","",ROW()-1)</f>
      </c>
      <c r="B251" s="5"/>
      <c r="C251" s="2">
        <f>IF(B251="","",IF(C251="",NOW(),C251))</f>
      </c>
    </row>
    <row r="252">
      <c r="A252" s="4">
        <f>IF(B252="","",ROW()-1)</f>
      </c>
      <c r="B252" s="5"/>
      <c r="C252" s="2">
        <f>IF(B252="","",IF(C252="",NOW(),C252))</f>
      </c>
    </row>
    <row r="253">
      <c r="A253" s="4">
        <f>IF(B253="","",ROW()-1)</f>
      </c>
      <c r="B253" s="5"/>
      <c r="C253" s="2">
        <f>IF(B253="","",IF(C253="",NOW(),C253))</f>
      </c>
    </row>
    <row r="254">
      <c r="A254" s="4">
        <f>IF(B254="","",ROW()-1)</f>
      </c>
      <c r="B254" s="5"/>
      <c r="C254" s="2">
        <f>IF(B254="","",IF(C254="",NOW(),C254))</f>
      </c>
    </row>
    <row r="255">
      <c r="A255" s="4">
        <f>IF(B255="","",ROW()-1)</f>
      </c>
      <c r="B255" s="5"/>
      <c r="C255" s="2">
        <f>IF(B255="","",IF(C255="",NOW(),C255))</f>
      </c>
    </row>
    <row r="256">
      <c r="A256" s="4">
        <f>IF(B256="","",ROW()-1)</f>
      </c>
      <c r="B256" s="5"/>
      <c r="C256" s="2">
        <f>IF(B256="","",IF(C256="",NOW(),C256))</f>
      </c>
    </row>
    <row r="257">
      <c r="A257" s="4">
        <f>IF(B257="","",ROW()-1)</f>
      </c>
      <c r="B257" s="5"/>
      <c r="C257" s="2">
        <f>IF(B257="","",IF(C257="",NOW(),C257))</f>
      </c>
    </row>
    <row r="258">
      <c r="A258" s="4">
        <f>IF(B258="","",ROW()-1)</f>
      </c>
      <c r="B258" s="5"/>
      <c r="C258" s="2">
        <f>IF(B258="","",IF(C258="",NOW(),C258))</f>
      </c>
    </row>
    <row r="259">
      <c r="A259" s="4">
        <f>IF(B259="","",ROW()-1)</f>
      </c>
      <c r="B259" s="5"/>
      <c r="C259" s="2">
        <f>IF(B259="","",IF(C259="",NOW(),C259))</f>
      </c>
    </row>
    <row r="260">
      <c r="A260" s="4">
        <f>IF(B260="","",ROW()-1)</f>
      </c>
      <c r="B260" s="5"/>
      <c r="C260" s="2">
        <f>IF(B260="","",IF(C260="",NOW(),C260))</f>
      </c>
    </row>
    <row r="261">
      <c r="A261" s="4">
        <f>IF(B261="","",ROW()-1)</f>
      </c>
      <c r="B261" s="5"/>
      <c r="C261" s="2">
        <f>IF(B261="","",IF(C261="",NOW(),C261))</f>
      </c>
    </row>
    <row r="262">
      <c r="A262" s="4">
        <f>IF(B262="","",ROW()-1)</f>
      </c>
      <c r="B262" s="5"/>
      <c r="C262" s="2">
        <f>IF(B262="","",IF(C262="",NOW(),C262))</f>
      </c>
    </row>
    <row r="263">
      <c r="A263" s="4">
        <f>IF(B263="","",ROW()-1)</f>
      </c>
      <c r="B263" s="5"/>
      <c r="C263" s="2">
        <f>IF(B263="","",IF(C263="",NOW(),C263))</f>
      </c>
    </row>
    <row r="264">
      <c r="A264" s="4">
        <f>IF(B264="","",ROW()-1)</f>
      </c>
      <c r="B264" s="5"/>
      <c r="C264" s="2">
        <f>IF(B264="","",IF(C264="",NOW(),C264))</f>
      </c>
    </row>
    <row r="265">
      <c r="A265" s="4">
        <f>IF(B265="","",ROW()-1)</f>
      </c>
      <c r="B265" s="5"/>
      <c r="C265" s="2">
        <f>IF(B265="","",IF(C265="",NOW(),C265))</f>
      </c>
    </row>
    <row r="266">
      <c r="A266" s="4">
        <f>IF(B266="","",ROW()-1)</f>
      </c>
      <c r="B266" s="5"/>
      <c r="C266" s="2">
        <f>IF(B266="","",IF(C266="",NOW(),C266))</f>
      </c>
    </row>
    <row r="267">
      <c r="A267" s="4">
        <f>IF(B267="","",ROW()-1)</f>
      </c>
      <c r="B267" s="5"/>
      <c r="C267" s="2">
        <f>IF(B267="","",IF(C267="",NOW(),C267))</f>
      </c>
    </row>
    <row r="268">
      <c r="A268" s="4">
        <f>IF(B268="","",ROW()-1)</f>
      </c>
      <c r="B268" s="5"/>
      <c r="C268" s="2">
        <f>IF(B268="","",IF(C268="",NOW(),C268))</f>
      </c>
    </row>
    <row r="269">
      <c r="A269" s="4">
        <f>IF(B269="","",ROW()-1)</f>
      </c>
      <c r="B269" s="5"/>
      <c r="C269" s="2">
        <f>IF(B269="","",IF(C269="",NOW(),C269))</f>
      </c>
    </row>
    <row r="270">
      <c r="A270" s="4">
        <f>IF(B270="","",ROW()-1)</f>
      </c>
      <c r="B270" s="5"/>
      <c r="C270" s="2">
        <f>IF(B270="","",IF(C270="",NOW(),C270))</f>
      </c>
    </row>
    <row r="271">
      <c r="A271" s="4">
        <f>IF(B271="","",ROW()-1)</f>
      </c>
      <c r="B271" s="5"/>
      <c r="C271" s="2">
        <f>IF(B271="","",IF(C271="",NOW(),C271))</f>
      </c>
    </row>
    <row r="272">
      <c r="A272" s="4">
        <f>IF(B272="","",ROW()-1)</f>
      </c>
      <c r="B272" s="5"/>
      <c r="C272" s="2">
        <f>IF(B272="","",IF(C272="",NOW(),C272))</f>
      </c>
    </row>
    <row r="273">
      <c r="A273" s="4">
        <f>IF(B273="","",ROW()-1)</f>
      </c>
      <c r="B273" s="5"/>
      <c r="C273" s="2">
        <f>IF(B273="","",IF(C273="",NOW(),C273))</f>
      </c>
    </row>
    <row r="274">
      <c r="A274" s="4">
        <f>IF(B274="","",ROW()-1)</f>
      </c>
      <c r="B274" s="5"/>
      <c r="C274" s="2">
        <f>IF(B274="","",IF(C274="",NOW(),C274))</f>
      </c>
    </row>
    <row r="275">
      <c r="A275" s="4">
        <f>IF(B275="","",ROW()-1)</f>
      </c>
      <c r="B275" s="5"/>
      <c r="C275" s="2">
        <f>IF(B275="","",IF(C275="",NOW(),C275))</f>
      </c>
    </row>
    <row r="276">
      <c r="A276" s="4">
        <f>IF(B276="","",ROW()-1)</f>
      </c>
      <c r="B276" s="5"/>
      <c r="C276" s="2">
        <f>IF(B276="","",IF(C276="",NOW(),C276))</f>
      </c>
    </row>
    <row r="277">
      <c r="A277" s="4">
        <f>IF(B277="","",ROW()-1)</f>
      </c>
      <c r="B277" s="5"/>
      <c r="C277" s="2">
        <f>IF(B277="","",IF(C277="",NOW(),C277))</f>
      </c>
    </row>
    <row r="278">
      <c r="A278" s="4">
        <f>IF(B278="","",ROW()-1)</f>
      </c>
      <c r="B278" s="5"/>
      <c r="C278" s="2">
        <f>IF(B278="","",IF(C278="",NOW(),C278))</f>
      </c>
    </row>
    <row r="279">
      <c r="A279" s="4">
        <f>IF(B279="","",ROW()-1)</f>
      </c>
      <c r="B279" s="5"/>
      <c r="C279" s="2">
        <f>IF(B279="","",IF(C279="",NOW(),C279))</f>
      </c>
    </row>
    <row r="280">
      <c r="A280" s="4">
        <f>IF(B280="","",ROW()-1)</f>
      </c>
      <c r="B280" s="5"/>
      <c r="C280" s="2">
        <f>IF(B280="","",IF(C280="",NOW(),C280))</f>
      </c>
    </row>
    <row r="281">
      <c r="A281" s="4">
        <f>IF(B281="","",ROW()-1)</f>
      </c>
      <c r="B281" s="5"/>
      <c r="C281" s="2">
        <f>IF(B281="","",IF(C281="",NOW(),C281))</f>
      </c>
    </row>
    <row r="282">
      <c r="A282" s="4">
        <f>IF(B282="","",ROW()-1)</f>
      </c>
      <c r="B282" s="5"/>
      <c r="C282" s="2">
        <f>IF(B282="","",IF(C282="",NOW(),C282))</f>
      </c>
    </row>
    <row r="283">
      <c r="A283" s="4">
        <f>IF(B283="","",ROW()-1)</f>
      </c>
      <c r="B283" s="5"/>
      <c r="C283" s="2">
        <f>IF(B283="","",IF(C283="",NOW(),C283))</f>
      </c>
    </row>
    <row r="284">
      <c r="A284" s="4">
        <f>IF(B284="","",ROW()-1)</f>
      </c>
      <c r="B284" s="5"/>
      <c r="C284" s="2">
        <f>IF(B284="","",IF(C284="",NOW(),C284))</f>
      </c>
    </row>
    <row r="285">
      <c r="A285" s="4">
        <f>IF(B285="","",ROW()-1)</f>
      </c>
      <c r="B285" s="5"/>
      <c r="C285" s="2">
        <f>IF(B285="","",IF(C285="",NOW(),C285))</f>
      </c>
    </row>
    <row r="286">
      <c r="A286" s="4">
        <f>IF(B286="","",ROW()-1)</f>
      </c>
      <c r="B286" s="5"/>
      <c r="C286" s="2">
        <f>IF(B286="","",IF(C286="",NOW(),C286))</f>
      </c>
    </row>
    <row r="287">
      <c r="A287" s="4">
        <f>IF(B287="","",ROW()-1)</f>
      </c>
      <c r="B287" s="5"/>
      <c r="C287" s="2">
        <f>IF(B287="","",IF(C287="",NOW(),C287))</f>
      </c>
    </row>
    <row r="288">
      <c r="A288" s="4">
        <f>IF(B288="","",ROW()-1)</f>
      </c>
      <c r="B288" s="5"/>
      <c r="C288" s="2">
        <f>IF(B288="","",IF(C288="",NOW(),C288))</f>
      </c>
    </row>
    <row r="289">
      <c r="A289" s="4">
        <f>IF(B289="","",ROW()-1)</f>
      </c>
      <c r="B289" s="5"/>
      <c r="C289" s="2">
        <f>IF(B289="","",IF(C289="",NOW(),C289))</f>
      </c>
    </row>
    <row r="290">
      <c r="A290" s="4">
        <f>IF(B290="","",ROW()-1)</f>
      </c>
      <c r="B290" s="5"/>
      <c r="C290" s="2">
        <f>IF(B290="","",IF(C290="",NOW(),C290))</f>
      </c>
    </row>
    <row r="291">
      <c r="A291" s="4">
        <f>IF(B291="","",ROW()-1)</f>
      </c>
      <c r="B291" s="5"/>
      <c r="C291" s="2">
        <f>IF(B291="","",IF(C291="",NOW(),C291))</f>
      </c>
    </row>
    <row r="292">
      <c r="A292" s="4">
        <f>IF(B292="","",ROW()-1)</f>
      </c>
      <c r="B292" s="5"/>
      <c r="C292" s="2">
        <f>IF(B292="","",IF(C292="",NOW(),C292))</f>
      </c>
    </row>
    <row r="293">
      <c r="A293" s="4">
        <f>IF(B293="","",ROW()-1)</f>
      </c>
      <c r="B293" s="5"/>
      <c r="C293" s="2">
        <f>IF(B293="","",IF(C293="",NOW(),C293))</f>
      </c>
    </row>
    <row r="294">
      <c r="A294" s="4">
        <f>IF(B294="","",ROW()-1)</f>
      </c>
      <c r="B294" s="5"/>
      <c r="C294" s="2">
        <f>IF(B294="","",IF(C294="",NOW(),C294))</f>
      </c>
    </row>
    <row r="295">
      <c r="A295" s="4">
        <f>IF(B295="","",ROW()-1)</f>
      </c>
      <c r="B295" s="5"/>
      <c r="C295" s="2">
        <f>IF(B295="","",IF(C295="",NOW(),C295))</f>
      </c>
    </row>
    <row r="296">
      <c r="A296" s="4">
        <f>IF(B296="","",ROW()-1)</f>
      </c>
      <c r="B296" s="5"/>
      <c r="C296" s="2">
        <f>IF(B296="","",IF(C296="",NOW(),C296))</f>
      </c>
    </row>
    <row r="297">
      <c r="A297" s="4">
        <f>IF(B297="","",ROW()-1)</f>
      </c>
      <c r="B297" s="5"/>
      <c r="C297" s="2">
        <f>IF(B297="","",IF(C297="",NOW(),C297))</f>
      </c>
    </row>
    <row r="298">
      <c r="A298" s="4">
        <f>IF(B298="","",ROW()-1)</f>
      </c>
      <c r="B298" s="5"/>
      <c r="C298" s="2">
        <f>IF(B298="","",IF(C298="",NOW(),C298))</f>
      </c>
    </row>
    <row r="299">
      <c r="A299" s="4">
        <f>IF(B299="","",ROW()-1)</f>
      </c>
      <c r="B299" s="5"/>
      <c r="C299" s="2">
        <f>IF(B299="","",IF(C299="",NOW(),C299))</f>
      </c>
    </row>
    <row r="300">
      <c r="A300" s="4">
        <f>IF(B300="","",ROW()-1)</f>
      </c>
      <c r="B300" s="5"/>
      <c r="C300" s="2">
        <f>IF(B300="","",IF(C300="",NOW(),C300))</f>
      </c>
    </row>
    <row r="301">
      <c r="A301" s="4">
        <f>IF(B301="","",ROW()-1)</f>
      </c>
      <c r="B301" s="5"/>
      <c r="C301" s="2">
        <f>IF(B301="","",IF(C301="",NOW(),C301))</f>
      </c>
    </row>
    <row r="302">
      <c r="A302" s="4">
        <f>IF(B302="","",ROW()-1)</f>
      </c>
      <c r="B302" s="5"/>
      <c r="C302" s="2">
        <f>IF(B302="","",IF(C302="",NOW(),C302))</f>
      </c>
    </row>
    <row r="303">
      <c r="A303" s="4">
        <f>IF(B303="","",ROW()-1)</f>
      </c>
      <c r="B303" s="5"/>
      <c r="C303" s="2">
        <f>IF(B303="","",IF(C303="",NOW(),C303))</f>
      </c>
    </row>
    <row r="304">
      <c r="A304" s="4">
        <f>IF(B304="","",ROW()-1)</f>
      </c>
      <c r="B304" s="5"/>
      <c r="C304" s="2">
        <f>IF(B304="","",IF(C304="",NOW(),C304))</f>
      </c>
    </row>
    <row r="305">
      <c r="A305" s="4">
        <f>IF(B305="","",ROW()-1)</f>
      </c>
      <c r="B305" s="5"/>
      <c r="C305" s="2">
        <f>IF(B305="","",IF(C305="",NOW(),C305))</f>
      </c>
    </row>
    <row r="306">
      <c r="A306" s="4">
        <f>IF(B306="","",ROW()-1)</f>
      </c>
      <c r="B306" s="5"/>
      <c r="C306" s="2">
        <f>IF(B306="","",IF(C306="",NOW(),C306))</f>
      </c>
    </row>
    <row r="307">
      <c r="A307" s="4">
        <f>IF(B307="","",ROW()-1)</f>
      </c>
      <c r="B307" s="5"/>
      <c r="C307" s="2">
        <f>IF(B307="","",IF(C307="",NOW(),C307))</f>
      </c>
    </row>
    <row r="308">
      <c r="A308" s="4">
        <f>IF(B308="","",ROW()-1)</f>
      </c>
      <c r="B308" s="5"/>
      <c r="C308" s="2">
        <f>IF(B308="","",IF(C308="",NOW(),C308))</f>
      </c>
    </row>
    <row r="309">
      <c r="A309" s="4">
        <f>IF(B309="","",ROW()-1)</f>
      </c>
      <c r="B309" s="5"/>
      <c r="C309" s="2">
        <f>IF(B309="","",IF(C309="",NOW(),C309))</f>
      </c>
    </row>
    <row r="310">
      <c r="A310" s="4">
        <f>IF(B310="","",ROW()-1)</f>
      </c>
      <c r="B310" s="5"/>
      <c r="C310" s="2">
        <f>IF(B310="","",IF(C310="",NOW(),C310))</f>
      </c>
    </row>
    <row r="311">
      <c r="A311" s="4">
        <f>IF(B311="","",ROW()-1)</f>
      </c>
      <c r="B311" s="5"/>
      <c r="C311" s="2">
        <f>IF(B311="","",IF(C311="",NOW(),C311))</f>
      </c>
    </row>
    <row r="312">
      <c r="A312" s="4">
        <f>IF(B312="","",ROW()-1)</f>
      </c>
      <c r="B312" s="5"/>
      <c r="C312" s="2">
        <f>IF(B312="","",IF(C312="",NOW(),C312))</f>
      </c>
    </row>
    <row r="313">
      <c r="A313" s="4">
        <f>IF(B313="","",ROW()-1)</f>
      </c>
      <c r="B313" s="5"/>
      <c r="C313" s="2">
        <f>IF(B313="","",IF(C313="",NOW(),C313))</f>
      </c>
    </row>
    <row r="314">
      <c r="A314" s="4">
        <f>IF(B314="","",ROW()-1)</f>
      </c>
      <c r="B314" s="5"/>
      <c r="C314" s="2">
        <f>IF(B314="","",IF(C314="",NOW(),C314))</f>
      </c>
    </row>
    <row r="315">
      <c r="A315" s="4">
        <f>IF(B315="","",ROW()-1)</f>
      </c>
      <c r="B315" s="5"/>
      <c r="C315" s="2">
        <f>IF(B315="","",IF(C315="",NOW(),C315))</f>
      </c>
    </row>
    <row r="316">
      <c r="A316" s="4">
        <f>IF(B316="","",ROW()-1)</f>
      </c>
      <c r="B316" s="5"/>
      <c r="C316" s="2">
        <f>IF(B316="","",IF(C316="",NOW(),C316))</f>
      </c>
    </row>
    <row r="317">
      <c r="A317" s="4">
        <f>IF(B317="","",ROW()-1)</f>
      </c>
      <c r="B317" s="5"/>
      <c r="C317" s="2">
        <f>IF(B317="","",IF(C317="",NOW(),C317))</f>
      </c>
    </row>
    <row r="318">
      <c r="A318" s="4">
        <f>IF(B318="","",ROW()-1)</f>
      </c>
      <c r="B318" s="5"/>
      <c r="C318" s="2">
        <f>IF(B318="","",IF(C318="",NOW(),C318))</f>
      </c>
    </row>
    <row r="319">
      <c r="A319" s="4">
        <f>IF(B319="","",ROW()-1)</f>
      </c>
      <c r="B319" s="5"/>
      <c r="C319" s="2">
        <f>IF(B319="","",IF(C319="",NOW(),C319))</f>
      </c>
    </row>
    <row r="320">
      <c r="A320" s="4">
        <f>IF(B320="","",ROW()-1)</f>
      </c>
      <c r="B320" s="5"/>
      <c r="C320" s="2">
        <f>IF(B320="","",IF(C320="",NOW(),C320))</f>
      </c>
    </row>
    <row r="321">
      <c r="A321" s="4">
        <f>IF(B321="","",ROW()-1)</f>
      </c>
      <c r="B321" s="5"/>
      <c r="C321" s="2">
        <f>IF(B321="","",IF(C321="",NOW(),C321))</f>
      </c>
    </row>
    <row r="322">
      <c r="A322" s="4">
        <f>IF(B322="","",ROW()-1)</f>
      </c>
      <c r="B322" s="5"/>
      <c r="C322" s="2">
        <f>IF(B322="","",IF(C322="",NOW(),C322))</f>
      </c>
    </row>
    <row r="323">
      <c r="A323" s="4">
        <f>IF(B323="","",ROW()-1)</f>
      </c>
      <c r="B323" s="5"/>
      <c r="C323" s="2">
        <f>IF(B323="","",IF(C323="",NOW(),C323))</f>
      </c>
    </row>
    <row r="324">
      <c r="A324" s="4">
        <f>IF(B324="","",ROW()-1)</f>
      </c>
      <c r="B324" s="5"/>
      <c r="C324" s="2">
        <f>IF(B324="","",IF(C324="",NOW(),C324))</f>
      </c>
    </row>
    <row r="325">
      <c r="A325" s="4">
        <f>IF(B325="","",ROW()-1)</f>
      </c>
      <c r="B325" s="5"/>
      <c r="C325" s="2">
        <f>IF(B325="","",IF(C325="",NOW(),C325))</f>
      </c>
    </row>
    <row r="326">
      <c r="A326" s="4">
        <f>IF(B326="","",ROW()-1)</f>
      </c>
      <c r="B326" s="5"/>
      <c r="C326" s="2">
        <f>IF(B326="","",IF(C326="",NOW(),C326))</f>
      </c>
    </row>
    <row r="327">
      <c r="A327" s="4">
        <f>IF(B327="","",ROW()-1)</f>
      </c>
      <c r="B327" s="5"/>
      <c r="C327" s="2">
        <f>IF(B327="","",IF(C327="",NOW(),C327))</f>
      </c>
    </row>
    <row r="328">
      <c r="A328" s="4">
        <f>IF(B328="","",ROW()-1)</f>
      </c>
      <c r="B328" s="5"/>
      <c r="C328" s="2">
        <f>IF(B328="","",IF(C328="",NOW(),C328))</f>
      </c>
    </row>
    <row r="329">
      <c r="A329" s="4">
        <f>IF(B329="","",ROW()-1)</f>
      </c>
      <c r="B329" s="5"/>
      <c r="C329" s="2">
        <f>IF(B329="","",IF(C329="",NOW(),C329))</f>
      </c>
    </row>
    <row r="330">
      <c r="A330" s="4">
        <f>IF(B330="","",ROW()-1)</f>
      </c>
      <c r="B330" s="5"/>
      <c r="C330" s="2">
        <f>IF(B330="","",IF(C330="",NOW(),C330))</f>
      </c>
    </row>
    <row r="331">
      <c r="A331" s="4">
        <f>IF(B331="","",ROW()-1)</f>
      </c>
      <c r="B331" s="5"/>
      <c r="C331" s="2">
        <f>IF(B331="","",IF(C331="",NOW(),C331))</f>
      </c>
    </row>
    <row r="332">
      <c r="A332" s="4">
        <f>IF(B332="","",ROW()-1)</f>
      </c>
      <c r="B332" s="5"/>
      <c r="C332" s="2">
        <f>IF(B332="","",IF(C332="",NOW(),C332))</f>
      </c>
    </row>
    <row r="333">
      <c r="A333" s="4">
        <f>IF(B333="","",ROW()-1)</f>
      </c>
      <c r="B333" s="5"/>
      <c r="C333" s="2">
        <f>IF(B333="","",IF(C333="",NOW(),C333))</f>
      </c>
    </row>
    <row r="334">
      <c r="A334" s="4">
        <f>IF(B334="","",ROW()-1)</f>
      </c>
      <c r="B334" s="5"/>
      <c r="C334" s="2">
        <f>IF(B334="","",IF(C334="",NOW(),C334))</f>
      </c>
    </row>
    <row r="335">
      <c r="A335" s="4">
        <f>IF(B335="","",ROW()-1)</f>
      </c>
      <c r="B335" s="5"/>
      <c r="C335" s="2">
        <f>IF(B335="","",IF(C335="",NOW(),C335))</f>
      </c>
    </row>
    <row r="336">
      <c r="A336" s="4">
        <f>IF(B336="","",ROW()-1)</f>
      </c>
      <c r="B336" s="5"/>
      <c r="C336" s="2">
        <f>IF(B336="","",IF(C336="",NOW(),C336))</f>
      </c>
    </row>
    <row r="337">
      <c r="A337" s="4">
        <f>IF(B337="","",ROW()-1)</f>
      </c>
      <c r="B337" s="5"/>
      <c r="C337" s="2">
        <f>IF(B337="","",IF(C337="",NOW(),C337))</f>
      </c>
    </row>
    <row r="338">
      <c r="A338" s="4">
        <f>IF(B338="","",ROW()-1)</f>
      </c>
      <c r="B338" s="5"/>
      <c r="C338" s="2">
        <f>IF(B338="","",IF(C338="",NOW(),C338))</f>
      </c>
    </row>
    <row r="339">
      <c r="A339" s="4">
        <f>IF(B339="","",ROW()-1)</f>
      </c>
      <c r="B339" s="5"/>
      <c r="C339" s="2">
        <f>IF(B339="","",IF(C339="",NOW(),C339))</f>
      </c>
    </row>
    <row r="340">
      <c r="A340" s="4">
        <f>IF(B340="","",ROW()-1)</f>
      </c>
      <c r="B340" s="5"/>
      <c r="C340" s="2">
        <f>IF(B340="","",IF(C340="",NOW(),C340))</f>
      </c>
    </row>
    <row r="341">
      <c r="A341" s="4">
        <f>IF(B341="","",ROW()-1)</f>
      </c>
      <c r="B341" s="5"/>
      <c r="C341" s="2">
        <f>IF(B341="","",IF(C341="",NOW(),C341))</f>
      </c>
    </row>
    <row r="342">
      <c r="A342" s="4">
        <f>IF(B342="","",ROW()-1)</f>
      </c>
      <c r="B342" s="5"/>
      <c r="C342" s="2">
        <f>IF(B342="","",IF(C342="",NOW(),C342))</f>
      </c>
    </row>
    <row r="343">
      <c r="A343" s="4">
        <f>IF(B343="","",ROW()-1)</f>
      </c>
      <c r="B343" s="5"/>
      <c r="C343" s="2">
        <f>IF(B343="","",IF(C343="",NOW(),C343))</f>
      </c>
    </row>
    <row r="344">
      <c r="A344" s="4">
        <f>IF(B344="","",ROW()-1)</f>
      </c>
      <c r="B344" s="5"/>
      <c r="C344" s="2">
        <f>IF(B344="","",IF(C344="",NOW(),C344))</f>
      </c>
    </row>
    <row r="345">
      <c r="A345" s="4">
        <f>IF(B345="","",ROW()-1)</f>
      </c>
      <c r="B345" s="5"/>
      <c r="C345" s="2">
        <f>IF(B345="","",IF(C345="",NOW(),C345))</f>
      </c>
    </row>
    <row r="346">
      <c r="A346" s="4">
        <f>IF(B346="","",ROW()-1)</f>
      </c>
      <c r="B346" s="5"/>
      <c r="C346" s="2">
        <f>IF(B346="","",IF(C346="",NOW(),C346))</f>
      </c>
    </row>
    <row r="347">
      <c r="A347" s="4">
        <f>IF(B347="","",ROW()-1)</f>
      </c>
      <c r="B347" s="5"/>
      <c r="C347" s="2">
        <f>IF(B347="","",IF(C347="",NOW(),C347))</f>
      </c>
    </row>
    <row r="348">
      <c r="A348" s="4">
        <f>IF(B348="","",ROW()-1)</f>
      </c>
      <c r="B348" s="5"/>
      <c r="C348" s="2">
        <f>IF(B348="","",IF(C348="",NOW(),C348))</f>
      </c>
    </row>
    <row r="349">
      <c r="A349" s="4">
        <f>IF(B349="","",ROW()-1)</f>
      </c>
      <c r="B349" s="5"/>
      <c r="C349" s="2">
        <f>IF(B349="","",IF(C349="",NOW(),C349))</f>
      </c>
    </row>
    <row r="350">
      <c r="A350" s="4">
        <f>IF(B350="","",ROW()-1)</f>
      </c>
      <c r="B350" s="5"/>
      <c r="C350" s="2">
        <f>IF(B350="","",IF(C350="",NOW(),C350))</f>
      </c>
    </row>
    <row r="351">
      <c r="A351" s="4">
        <f>IF(B351="","",ROW()-1)</f>
      </c>
      <c r="B351" s="5"/>
      <c r="C351" s="2">
        <f>IF(B351="","",IF(C351="",NOW(),C351))</f>
      </c>
    </row>
    <row r="352">
      <c r="A352" s="4">
        <f>IF(B352="","",ROW()-1)</f>
      </c>
      <c r="B352" s="5"/>
      <c r="C352" s="2">
        <f>IF(B352="","",IF(C352="",NOW(),C352))</f>
      </c>
    </row>
    <row r="353">
      <c r="A353" s="4">
        <f>IF(B353="","",ROW()-1)</f>
      </c>
      <c r="B353" s="5"/>
      <c r="C353" s="2">
        <f>IF(B353="","",IF(C353="",NOW(),C353))</f>
      </c>
    </row>
    <row r="354">
      <c r="A354" s="4">
        <f>IF(B354="","",ROW()-1)</f>
      </c>
      <c r="B354" s="5"/>
      <c r="C354" s="2">
        <f>IF(B354="","",IF(C354="",NOW(),C354))</f>
      </c>
    </row>
    <row r="355">
      <c r="A355" s="4">
        <f>IF(B355="","",ROW()-1)</f>
      </c>
      <c r="B355" s="5"/>
      <c r="C355" s="2">
        <f>IF(B355="","",IF(C355="",NOW(),C355))</f>
      </c>
    </row>
    <row r="356">
      <c r="A356" s="4">
        <f>IF(B356="","",ROW()-1)</f>
      </c>
      <c r="B356" s="5"/>
      <c r="C356" s="2">
        <f>IF(B356="","",IF(C356="",NOW(),C356))</f>
      </c>
    </row>
    <row r="357">
      <c r="A357" s="4">
        <f>IF(B357="","",ROW()-1)</f>
      </c>
      <c r="B357" s="5"/>
      <c r="C357" s="2">
        <f>IF(B357="","",IF(C357="",NOW(),C357))</f>
      </c>
    </row>
    <row r="358">
      <c r="A358" s="4">
        <f>IF(B358="","",ROW()-1)</f>
      </c>
      <c r="B358" s="5"/>
      <c r="C358" s="2">
        <f>IF(B358="","",IF(C358="",NOW(),C358))</f>
      </c>
    </row>
    <row r="359">
      <c r="A359" s="4">
        <f>IF(B359="","",ROW()-1)</f>
      </c>
      <c r="B359" s="5"/>
      <c r="C359" s="2">
        <f>IF(B359="","",IF(C359="",NOW(),C359))</f>
      </c>
    </row>
    <row r="360">
      <c r="A360" s="4">
        <f>IF(B360="","",ROW()-1)</f>
      </c>
      <c r="B360" s="5"/>
      <c r="C360" s="2">
        <f>IF(B360="","",IF(C360="",NOW(),C360))</f>
      </c>
    </row>
    <row r="361">
      <c r="A361" s="4">
        <f>IF(B361="","",ROW()-1)</f>
      </c>
      <c r="B361" s="5"/>
      <c r="C361" s="2">
        <f>IF(B361="","",IF(C361="",NOW(),C361))</f>
      </c>
    </row>
    <row r="362">
      <c r="A362" s="4">
        <f>IF(B362="","",ROW()-1)</f>
      </c>
      <c r="B362" s="5"/>
      <c r="C362" s="2">
        <f>IF(B362="","",IF(C362="",NOW(),C362))</f>
      </c>
    </row>
    <row r="363">
      <c r="A363" s="4">
        <f>IF(B363="","",ROW()-1)</f>
      </c>
      <c r="B363" s="5"/>
      <c r="C363" s="2">
        <f>IF(B363="","",IF(C363="",NOW(),C363))</f>
      </c>
    </row>
    <row r="364">
      <c r="A364" s="4">
        <f>IF(B364="","",ROW()-1)</f>
      </c>
      <c r="B364" s="5"/>
      <c r="C364" s="2">
        <f>IF(B364="","",IF(C364="",NOW(),C364))</f>
      </c>
    </row>
    <row r="365">
      <c r="A365" s="4">
        <f>IF(B365="","",ROW()-1)</f>
      </c>
      <c r="B365" s="5"/>
      <c r="C365" s="2">
        <f>IF(B365="","",IF(C365="",NOW(),C365))</f>
      </c>
    </row>
    <row r="366">
      <c r="A366" s="4">
        <f>IF(B366="","",ROW()-1)</f>
      </c>
      <c r="B366" s="5"/>
      <c r="C366" s="2">
        <f>IF(B366="","",IF(C366="",NOW(),C366))</f>
      </c>
    </row>
    <row r="367">
      <c r="A367" s="4">
        <f>IF(B367="","",ROW()-1)</f>
      </c>
      <c r="B367" s="5"/>
      <c r="C367" s="2">
        <f>IF(B367="","",IF(C367="",NOW(),C367))</f>
      </c>
    </row>
    <row r="368">
      <c r="A368" s="4">
        <f>IF(B368="","",ROW()-1)</f>
      </c>
      <c r="B368" s="5"/>
      <c r="C368" s="2">
        <f>IF(B368="","",IF(C368="",NOW(),C368))</f>
      </c>
    </row>
    <row r="369">
      <c r="A369" s="4">
        <f>IF(B369="","",ROW()-1)</f>
      </c>
      <c r="B369" s="5"/>
      <c r="C369" s="2">
        <f>IF(B369="","",IF(C369="",NOW(),C369))</f>
      </c>
    </row>
    <row r="370">
      <c r="A370" s="4">
        <f>IF(B370="","",ROW()-1)</f>
      </c>
      <c r="B370" s="5"/>
      <c r="C370" s="2">
        <f>IF(B370="","",IF(C370="",NOW(),C370))</f>
      </c>
    </row>
    <row r="371">
      <c r="A371" s="4">
        <f>IF(B371="","",ROW()-1)</f>
      </c>
      <c r="B371" s="5"/>
      <c r="C371" s="2">
        <f>IF(B371="","",IF(C371="",NOW(),C371))</f>
      </c>
    </row>
    <row r="372">
      <c r="A372" s="4">
        <f>IF(B372="","",ROW()-1)</f>
      </c>
      <c r="B372" s="5"/>
      <c r="C372" s="2">
        <f>IF(B372="","",IF(C372="",NOW(),C372))</f>
      </c>
    </row>
    <row r="373">
      <c r="A373" s="4">
        <f>IF(B373="","",ROW()-1)</f>
      </c>
      <c r="B373" s="5"/>
      <c r="C373" s="2">
        <f>IF(B373="","",IF(C373="",NOW(),C373))</f>
      </c>
    </row>
    <row r="374">
      <c r="A374" s="4">
        <f>IF(B374="","",ROW()-1)</f>
      </c>
      <c r="B374" s="5"/>
      <c r="C374" s="2">
        <f>IF(B374="","",IF(C374="",NOW(),C374))</f>
      </c>
    </row>
    <row r="375">
      <c r="A375" s="4">
        <f>IF(B375="","",ROW()-1)</f>
      </c>
      <c r="B375" s="5"/>
      <c r="C375" s="2">
        <f>IF(B375="","",IF(C375="",NOW(),C375))</f>
      </c>
    </row>
    <row r="376">
      <c r="A376" s="4">
        <f>IF(B376="","",ROW()-1)</f>
      </c>
      <c r="B376" s="5"/>
      <c r="C376" s="2">
        <f>IF(B376="","",IF(C376="",NOW(),C376))</f>
      </c>
    </row>
    <row r="377">
      <c r="A377" s="4">
        <f>IF(B377="","",ROW()-1)</f>
      </c>
      <c r="B377" s="5"/>
      <c r="C377" s="2">
        <f>IF(B377="","",IF(C377="",NOW(),C377))</f>
      </c>
    </row>
    <row r="378">
      <c r="A378" s="4">
        <f>IF(B378="","",ROW()-1)</f>
      </c>
      <c r="B378" s="5"/>
      <c r="C378" s="2">
        <f>IF(B378="","",IF(C378="",NOW(),C378))</f>
      </c>
    </row>
    <row r="379">
      <c r="A379" s="4">
        <f>IF(B379="","",ROW()-1)</f>
      </c>
      <c r="B379" s="5"/>
      <c r="C379" s="2">
        <f>IF(B379="","",IF(C379="",NOW(),C379))</f>
      </c>
    </row>
    <row r="380">
      <c r="A380" s="4">
        <f>IF(B380="","",ROW()-1)</f>
      </c>
      <c r="B380" s="5"/>
      <c r="C380" s="2">
        <f>IF(B380="","",IF(C380="",NOW(),C380))</f>
      </c>
    </row>
    <row r="381">
      <c r="A381" s="4">
        <f>IF(B381="","",ROW()-1)</f>
      </c>
      <c r="B381" s="5"/>
      <c r="C381" s="2">
        <f>IF(B381="","",IF(C381="",NOW(),C381))</f>
      </c>
    </row>
    <row r="382">
      <c r="A382" s="4">
        <f>IF(B382="","",ROW()-1)</f>
      </c>
      <c r="B382" s="5"/>
      <c r="C382" s="2">
        <f>IF(B382="","",IF(C382="",NOW(),C382))</f>
      </c>
    </row>
    <row r="383">
      <c r="A383" s="4">
        <f>IF(B383="","",ROW()-1)</f>
      </c>
      <c r="B383" s="5"/>
      <c r="C383" s="2">
        <f>IF(B383="","",IF(C383="",NOW(),C383))</f>
      </c>
    </row>
    <row r="384">
      <c r="A384" s="4">
        <f>IF(B384="","",ROW()-1)</f>
      </c>
      <c r="B384" s="5"/>
      <c r="C384" s="2">
        <f>IF(B384="","",IF(C384="",NOW(),C384))</f>
      </c>
    </row>
    <row r="385">
      <c r="A385" s="4">
        <f>IF(B385="","",ROW()-1)</f>
      </c>
      <c r="B385" s="5"/>
      <c r="C385" s="2">
        <f>IF(B385="","",IF(C385="",NOW(),C385))</f>
      </c>
    </row>
    <row r="386">
      <c r="A386" s="4">
        <f>IF(B386="","",ROW()-1)</f>
      </c>
      <c r="B386" s="5"/>
      <c r="C386" s="2">
        <f>IF(B386="","",IF(C386="",NOW(),C386))</f>
      </c>
    </row>
    <row r="387">
      <c r="A387" s="4">
        <f>IF(B387="","",ROW()-1)</f>
      </c>
      <c r="B387" s="5"/>
      <c r="C387" s="2">
        <f>IF(B387="","",IF(C387="",NOW(),C387))</f>
      </c>
    </row>
    <row r="388">
      <c r="A388" s="4">
        <f>IF(B388="","",ROW()-1)</f>
      </c>
      <c r="B388" s="5"/>
      <c r="C388" s="2">
        <f>IF(B388="","",IF(C388="",NOW(),C388))</f>
      </c>
    </row>
    <row r="389">
      <c r="A389" s="4">
        <f>IF(B389="","",ROW()-1)</f>
      </c>
      <c r="B389" s="5"/>
      <c r="C389" s="2">
        <f>IF(B389="","",IF(C389="",NOW(),C389))</f>
      </c>
    </row>
    <row r="390">
      <c r="A390" s="4">
        <f>IF(B390="","",ROW()-1)</f>
      </c>
      <c r="B390" s="5"/>
      <c r="C390" s="2">
        <f>IF(B390="","",IF(C390="",NOW(),C390))</f>
      </c>
    </row>
    <row r="391">
      <c r="A391" s="4">
        <f>IF(B391="","",ROW()-1)</f>
      </c>
      <c r="B391" s="5"/>
      <c r="C391" s="2">
        <f>IF(B391="","",IF(C391="",NOW(),C391))</f>
      </c>
    </row>
    <row r="392">
      <c r="A392" s="4">
        <f>IF(B392="","",ROW()-1)</f>
      </c>
      <c r="B392" s="5"/>
      <c r="C392" s="2">
        <f>IF(B392="","",IF(C392="",NOW(),C392))</f>
      </c>
    </row>
    <row r="393">
      <c r="A393" s="4">
        <f>IF(B393="","",ROW()-1)</f>
      </c>
      <c r="B393" s="5"/>
      <c r="C393" s="2">
        <f>IF(B393="","",IF(C393="",NOW(),C393))</f>
      </c>
    </row>
    <row r="394">
      <c r="A394" s="4">
        <f>IF(B394="","",ROW()-1)</f>
      </c>
      <c r="B394" s="5"/>
      <c r="C394" s="2">
        <f>IF(B394="","",IF(C394="",NOW(),C394))</f>
      </c>
    </row>
    <row r="395">
      <c r="A395" s="4">
        <f>IF(B395="","",ROW()-1)</f>
      </c>
      <c r="B395" s="5"/>
      <c r="C395" s="2">
        <f>IF(B395="","",IF(C395="",NOW(),C395))</f>
      </c>
    </row>
    <row r="396">
      <c r="A396" s="4">
        <f>IF(B396="","",ROW()-1)</f>
      </c>
      <c r="B396" s="5"/>
      <c r="C396" s="2">
        <f>IF(B396="","",IF(C396="",NOW(),C396))</f>
      </c>
    </row>
    <row r="397">
      <c r="A397" s="4">
        <f>IF(B397="","",ROW()-1)</f>
      </c>
      <c r="B397" s="5"/>
      <c r="C397" s="2">
        <f>IF(B397="","",IF(C397="",NOW(),C397))</f>
      </c>
    </row>
    <row r="398">
      <c r="A398" s="4">
        <f>IF(B398="","",ROW()-1)</f>
      </c>
      <c r="B398" s="5"/>
      <c r="C398" s="2">
        <f>IF(B398="","",IF(C398="",NOW(),C398))</f>
      </c>
    </row>
    <row r="399">
      <c r="A399" s="4">
        <f>IF(B399="","",ROW()-1)</f>
      </c>
      <c r="B399" s="5"/>
      <c r="C399" s="2">
        <f>IF(B399="","",IF(C399="",NOW(),C399))</f>
      </c>
    </row>
    <row r="400">
      <c r="A400" s="4">
        <f>IF(B400="","",ROW()-1)</f>
      </c>
      <c r="B400" s="5"/>
      <c r="C400" s="2">
        <f>IF(B400="","",IF(C400="",NOW(),C400))</f>
      </c>
    </row>
    <row r="401">
      <c r="A401" s="4">
        <f>IF(B401="","",ROW()-1)</f>
      </c>
      <c r="B401" s="5"/>
      <c r="C401" s="2">
        <f>IF(B401="","",IF(C401="",NOW(),C401))</f>
      </c>
    </row>
    <row r="402">
      <c r="A402" s="4">
        <f>IF(B402="","",ROW()-1)</f>
      </c>
      <c r="B402" s="5"/>
      <c r="C402" s="2">
        <f>IF(B402="","",IF(C402="",NOW(),C402))</f>
      </c>
    </row>
    <row r="403">
      <c r="A403" s="4">
        <f>IF(B403="","",ROW()-1)</f>
      </c>
      <c r="B403" s="5"/>
      <c r="C403" s="2">
        <f>IF(B403="","",IF(C403="",NOW(),C403))</f>
      </c>
    </row>
    <row r="404">
      <c r="A404" s="4">
        <f>IF(B404="","",ROW()-1)</f>
      </c>
      <c r="B404" s="5"/>
      <c r="C404" s="2">
        <f>IF(B404="","",IF(C404="",NOW(),C404))</f>
      </c>
    </row>
    <row r="405">
      <c r="A405" s="4">
        <f>IF(B405="","",ROW()-1)</f>
      </c>
      <c r="B405" s="5"/>
      <c r="C405" s="2">
        <f>IF(B405="","",IF(C405="",NOW(),C405))</f>
      </c>
    </row>
    <row r="406">
      <c r="A406" s="4">
        <f>IF(B406="","",ROW()-1)</f>
      </c>
      <c r="B406" s="5"/>
      <c r="C406" s="2">
        <f>IF(B406="","",IF(C406="",NOW(),C406))</f>
      </c>
    </row>
    <row r="407">
      <c r="A407" s="4">
        <f>IF(B407="","",ROW()-1)</f>
      </c>
      <c r="B407" s="5"/>
      <c r="C407" s="2">
        <f>IF(B407="","",IF(C407="",NOW(),C407))</f>
      </c>
    </row>
    <row r="408">
      <c r="A408" s="4">
        <f>IF(B408="","",ROW()-1)</f>
      </c>
      <c r="B408" s="5"/>
      <c r="C408" s="2">
        <f>IF(B408="","",IF(C408="",NOW(),C408))</f>
      </c>
    </row>
    <row r="409">
      <c r="A409" s="4">
        <f>IF(B409="","",ROW()-1)</f>
      </c>
      <c r="B409" s="5"/>
      <c r="C409" s="2">
        <f>IF(B409="","",IF(C409="",NOW(),C409))</f>
      </c>
    </row>
    <row r="410">
      <c r="A410" s="4">
        <f>IF(B410="","",ROW()-1)</f>
      </c>
      <c r="B410" s="5"/>
      <c r="C410" s="2">
        <f>IF(B410="","",IF(C410="",NOW(),C410))</f>
      </c>
    </row>
    <row r="411">
      <c r="A411" s="4">
        <f>IF(B411="","",ROW()-1)</f>
      </c>
      <c r="B411" s="5"/>
      <c r="C411" s="2">
        <f>IF(B411="","",IF(C411="",NOW(),C411))</f>
      </c>
    </row>
    <row r="412">
      <c r="A412" s="4">
        <f>IF(B412="","",ROW()-1)</f>
      </c>
      <c r="B412" s="5"/>
      <c r="C412" s="2">
        <f>IF(B412="","",IF(C412="",NOW(),C412))</f>
      </c>
    </row>
    <row r="413">
      <c r="A413" s="4">
        <f>IF(B413="","",ROW()-1)</f>
      </c>
      <c r="B413" s="5"/>
      <c r="C413" s="2">
        <f>IF(B413="","",IF(C413="",NOW(),C413))</f>
      </c>
    </row>
    <row r="414">
      <c r="A414" s="4">
        <f>IF(B414="","",ROW()-1)</f>
      </c>
      <c r="B414" s="5"/>
      <c r="C414" s="2">
        <f>IF(B414="","",IF(C414="",NOW(),C414))</f>
      </c>
    </row>
    <row r="415">
      <c r="A415" s="4">
        <f>IF(B415="","",ROW()-1)</f>
      </c>
      <c r="B415" s="5"/>
      <c r="C415" s="2">
        <f>IF(B415="","",IF(C415="",NOW(),C415))</f>
      </c>
    </row>
    <row r="416">
      <c r="A416" s="4">
        <f>IF(B416="","",ROW()-1)</f>
      </c>
      <c r="B416" s="5"/>
      <c r="C416" s="2">
        <f>IF(B416="","",IF(C416="",NOW(),C416))</f>
      </c>
    </row>
    <row r="417">
      <c r="A417" s="4">
        <f>IF(B417="","",ROW()-1)</f>
      </c>
      <c r="B417" s="5"/>
      <c r="C417" s="2">
        <f>IF(B417="","",IF(C417="",NOW(),C417))</f>
      </c>
    </row>
    <row r="418">
      <c r="A418" s="4">
        <f>IF(B418="","",ROW()-1)</f>
      </c>
      <c r="B418" s="5"/>
      <c r="C418" s="2">
        <f>IF(B418="","",IF(C418="",NOW(),C418))</f>
      </c>
    </row>
    <row r="419">
      <c r="A419" s="4">
        <f>IF(B419="","",ROW()-1)</f>
      </c>
      <c r="B419" s="5"/>
      <c r="C419" s="2">
        <f>IF(B419="","",IF(C419="",NOW(),C419))</f>
      </c>
    </row>
    <row r="420">
      <c r="A420" s="4">
        <f>IF(B420="","",ROW()-1)</f>
      </c>
      <c r="B420" s="5"/>
      <c r="C420" s="2">
        <f>IF(B420="","",IF(C420="",NOW(),C420))</f>
      </c>
    </row>
    <row r="421">
      <c r="A421" s="4">
        <f>IF(B421="","",ROW()-1)</f>
      </c>
      <c r="B421" s="5"/>
      <c r="C421" s="2">
        <f>IF(B421="","",IF(C421="",NOW(),C421))</f>
      </c>
    </row>
    <row r="422">
      <c r="A422" s="4">
        <f>IF(B422="","",ROW()-1)</f>
      </c>
      <c r="B422" s="5"/>
      <c r="C422" s="2">
        <f>IF(B422="","",IF(C422="",NOW(),C422))</f>
      </c>
    </row>
    <row r="423">
      <c r="A423" s="4">
        <f>IF(B423="","",ROW()-1)</f>
      </c>
      <c r="B423" s="5"/>
      <c r="C423" s="2">
        <f>IF(B423="","",IF(C423="",NOW(),C423))</f>
      </c>
    </row>
    <row r="424">
      <c r="A424" s="4">
        <f>IF(B424="","",ROW()-1)</f>
      </c>
      <c r="B424" s="5"/>
      <c r="C424" s="2">
        <f>IF(B424="","",IF(C424="",NOW(),C424))</f>
      </c>
    </row>
    <row r="425">
      <c r="A425" s="4">
        <f>IF(B425="","",ROW()-1)</f>
      </c>
      <c r="B425" s="5"/>
      <c r="C425" s="2">
        <f>IF(B425="","",IF(C425="",NOW(),C425))</f>
      </c>
    </row>
    <row r="426">
      <c r="A426" s="4">
        <f>IF(B426="","",ROW()-1)</f>
      </c>
      <c r="B426" s="5"/>
      <c r="C426" s="2">
        <f>IF(B426="","",IF(C426="",NOW(),C426))</f>
      </c>
    </row>
    <row r="427">
      <c r="A427" s="4">
        <f>IF(B427="","",ROW()-1)</f>
      </c>
      <c r="B427" s="5"/>
      <c r="C427" s="2">
        <f>IF(B427="","",IF(C427="",NOW(),C427))</f>
      </c>
    </row>
    <row r="428">
      <c r="A428" s="4">
        <f>IF(B428="","",ROW()-1)</f>
      </c>
      <c r="B428" s="5"/>
      <c r="C428" s="2">
        <f>IF(B428="","",IF(C428="",NOW(),C428))</f>
      </c>
    </row>
    <row r="429">
      <c r="A429" s="4">
        <f>IF(B429="","",ROW()-1)</f>
      </c>
      <c r="B429" s="5"/>
      <c r="C429" s="2">
        <f>IF(B429="","",IF(C429="",NOW(),C429))</f>
      </c>
    </row>
    <row r="430">
      <c r="A430" s="4">
        <f>IF(B430="","",ROW()-1)</f>
      </c>
      <c r="B430" s="5"/>
      <c r="C430" s="2">
        <f>IF(B430="","",IF(C430="",NOW(),C430))</f>
      </c>
    </row>
    <row r="431">
      <c r="A431" s="4">
        <f>IF(B431="","",ROW()-1)</f>
      </c>
      <c r="B431" s="5"/>
      <c r="C431" s="2">
        <f>IF(B431="","",IF(C431="",NOW(),C431))</f>
      </c>
    </row>
    <row r="432">
      <c r="A432" s="4">
        <f>IF(B432="","",ROW()-1)</f>
      </c>
      <c r="B432" s="5"/>
      <c r="C432" s="2">
        <f>IF(B432="","",IF(C432="",NOW(),C432))</f>
      </c>
    </row>
    <row r="433">
      <c r="A433" s="4">
        <f>IF(B433="","",ROW()-1)</f>
      </c>
      <c r="B433" s="5"/>
      <c r="C433" s="2">
        <f>IF(B433="","",IF(C433="",NOW(),C433))</f>
      </c>
    </row>
    <row r="434">
      <c r="A434" s="4">
        <f>IF(B434="","",ROW()-1)</f>
      </c>
      <c r="B434" s="5"/>
      <c r="C434" s="2">
        <f>IF(B434="","",IF(C434="",NOW(),C434))</f>
      </c>
    </row>
    <row r="435">
      <c r="A435" s="4">
        <f>IF(B435="","",ROW()-1)</f>
      </c>
      <c r="B435" s="5"/>
      <c r="C435" s="2">
        <f>IF(B435="","",IF(C435="",NOW(),C435))</f>
      </c>
    </row>
    <row r="436">
      <c r="A436" s="4">
        <f>IF(B436="","",ROW()-1)</f>
      </c>
      <c r="B436" s="5"/>
      <c r="C436" s="2">
        <f>IF(B436="","",IF(C436="",NOW(),C436))</f>
      </c>
    </row>
    <row r="437">
      <c r="A437" s="4">
        <f>IF(B437="","",ROW()-1)</f>
      </c>
      <c r="B437" s="5"/>
      <c r="C437" s="2">
        <f>IF(B437="","",IF(C437="",NOW(),C437))</f>
      </c>
    </row>
    <row r="438">
      <c r="A438" s="4">
        <f>IF(B438="","",ROW()-1)</f>
      </c>
      <c r="B438" s="5"/>
      <c r="C438" s="2">
        <f>IF(B438="","",IF(C438="",NOW(),C438))</f>
      </c>
    </row>
    <row r="439">
      <c r="A439" s="4">
        <f>IF(B439="","",ROW()-1)</f>
      </c>
      <c r="B439" s="5"/>
      <c r="C439" s="2">
        <f>IF(B439="","",IF(C439="",NOW(),C439))</f>
      </c>
    </row>
    <row r="440">
      <c r="A440" s="4">
        <f>IF(B440="","",ROW()-1)</f>
      </c>
      <c r="B440" s="5"/>
      <c r="C440" s="2">
        <f>IF(B440="","",IF(C440="",NOW(),C440))</f>
      </c>
    </row>
    <row r="441">
      <c r="A441" s="4">
        <f>IF(B441="","",ROW()-1)</f>
      </c>
      <c r="B441" s="5"/>
      <c r="C441" s="2">
        <f>IF(B441="","",IF(C441="",NOW(),C441))</f>
      </c>
    </row>
    <row r="442">
      <c r="A442" s="4">
        <f>IF(B442="","",ROW()-1)</f>
      </c>
      <c r="B442" s="5"/>
      <c r="C442" s="2">
        <f>IF(B442="","",IF(C442="",NOW(),C442))</f>
      </c>
    </row>
    <row r="443">
      <c r="A443" s="4">
        <f>IF(B443="","",ROW()-1)</f>
      </c>
      <c r="B443" s="5"/>
      <c r="C443" s="2">
        <f>IF(B443="","",IF(C443="",NOW(),C443))</f>
      </c>
    </row>
    <row r="444">
      <c r="A444" s="4">
        <f>IF(B444="","",ROW()-1)</f>
      </c>
      <c r="B444" s="5"/>
      <c r="C444" s="2">
        <f>IF(B444="","",IF(C444="",NOW(),C444))</f>
      </c>
    </row>
    <row r="445">
      <c r="A445" s="4">
        <f>IF(B445="","",ROW()-1)</f>
      </c>
      <c r="B445" s="5"/>
      <c r="C445" s="2">
        <f>IF(B445="","",IF(C445="",NOW(),C445))</f>
      </c>
    </row>
    <row r="446">
      <c r="A446" s="4">
        <f>IF(B446="","",ROW()-1)</f>
      </c>
      <c r="B446" s="5"/>
      <c r="C446" s="2">
        <f>IF(B446="","",IF(C446="",NOW(),C446))</f>
      </c>
    </row>
    <row r="447">
      <c r="A447" s="4">
        <f>IF(B447="","",ROW()-1)</f>
      </c>
      <c r="B447" s="5"/>
      <c r="C447" s="2">
        <f>IF(B447="","",IF(C447="",NOW(),C447))</f>
      </c>
    </row>
    <row r="448">
      <c r="A448" s="4">
        <f>IF(B448="","",ROW()-1)</f>
      </c>
      <c r="B448" s="5"/>
      <c r="C448" s="2">
        <f>IF(B448="","",IF(C448="",NOW(),C448))</f>
      </c>
    </row>
    <row r="449">
      <c r="A449" s="4">
        <f>IF(B449="","",ROW()-1)</f>
      </c>
      <c r="B449" s="5"/>
      <c r="C449" s="2">
        <f>IF(B449="","",IF(C449="",NOW(),C449))</f>
      </c>
    </row>
    <row r="450">
      <c r="A450" s="4">
        <f>IF(B450="","",ROW()-1)</f>
      </c>
      <c r="B450" s="5"/>
      <c r="C450" s="2">
        <f>IF(B450="","",IF(C450="",NOW(),C450))</f>
      </c>
    </row>
    <row r="451">
      <c r="A451" s="4">
        <f>IF(B451="","",ROW()-1)</f>
      </c>
      <c r="B451" s="5"/>
      <c r="C451" s="2">
        <f>IF(B451="","",IF(C451="",NOW(),C451))</f>
      </c>
    </row>
    <row r="452">
      <c r="A452" s="4">
        <f>IF(B452="","",ROW()-1)</f>
      </c>
      <c r="B452" s="5"/>
      <c r="C452" s="2">
        <f>IF(B452="","",IF(C452="",NOW(),C452))</f>
      </c>
    </row>
    <row r="453">
      <c r="A453" s="4">
        <f>IF(B453="","",ROW()-1)</f>
      </c>
      <c r="B453" s="5"/>
      <c r="C453" s="2">
        <f>IF(B453="","",IF(C453="",NOW(),C453))</f>
      </c>
    </row>
    <row r="454">
      <c r="A454" s="4">
        <f>IF(B454="","",ROW()-1)</f>
      </c>
      <c r="B454" s="5"/>
      <c r="C454" s="2">
        <f>IF(B454="","",IF(C454="",NOW(),C454))</f>
      </c>
    </row>
    <row r="455">
      <c r="A455" s="4">
        <f>IF(B455="","",ROW()-1)</f>
      </c>
      <c r="B455" s="5"/>
      <c r="C455" s="2">
        <f>IF(B455="","",IF(C455="",NOW(),C455))</f>
      </c>
    </row>
    <row r="456">
      <c r="A456" s="4">
        <f>IF(B456="","",ROW()-1)</f>
      </c>
      <c r="B456" s="5"/>
      <c r="C456" s="2">
        <f>IF(B456="","",IF(C456="",NOW(),C456))</f>
      </c>
    </row>
    <row r="457">
      <c r="A457" s="4">
        <f>IF(B457="","",ROW()-1)</f>
      </c>
      <c r="B457" s="5"/>
      <c r="C457" s="2">
        <f>IF(B457="","",IF(C457="",NOW(),C457))</f>
      </c>
    </row>
    <row r="458">
      <c r="A458" s="4">
        <f>IF(B458="","",ROW()-1)</f>
      </c>
      <c r="B458" s="5"/>
      <c r="C458" s="2">
        <f>IF(B458="","",IF(C458="",NOW(),C458))</f>
      </c>
    </row>
    <row r="459">
      <c r="A459" s="4">
        <f>IF(B459="","",ROW()-1)</f>
      </c>
      <c r="B459" s="5"/>
      <c r="C459" s="2">
        <f>IF(B459="","",IF(C459="",NOW(),C459))</f>
      </c>
    </row>
    <row r="460">
      <c r="A460" s="4">
        <f>IF(B460="","",ROW()-1)</f>
      </c>
      <c r="B460" s="5"/>
      <c r="C460" s="2">
        <f>IF(B460="","",IF(C460="",NOW(),C460))</f>
      </c>
    </row>
    <row r="461">
      <c r="A461" s="4">
        <f>IF(B461="","",ROW()-1)</f>
      </c>
      <c r="B461" s="5"/>
      <c r="C461" s="2">
        <f>IF(B461="","",IF(C461="",NOW(),C461))</f>
      </c>
    </row>
    <row r="462">
      <c r="A462" s="4">
        <f>IF(B462="","",ROW()-1)</f>
      </c>
      <c r="B462" s="5"/>
      <c r="C462" s="2">
        <f>IF(B462="","",IF(C462="",NOW(),C462))</f>
      </c>
    </row>
    <row r="463">
      <c r="A463" s="4">
        <f>IF(B463="","",ROW()-1)</f>
      </c>
      <c r="B463" s="5"/>
      <c r="C463" s="2">
        <f>IF(B463="","",IF(C463="",NOW(),C463))</f>
      </c>
    </row>
    <row r="464">
      <c r="A464" s="4">
        <f>IF(B464="","",ROW()-1)</f>
      </c>
      <c r="B464" s="5"/>
      <c r="C464" s="2">
        <f>IF(B464="","",IF(C464="",NOW(),C464))</f>
      </c>
    </row>
    <row r="465">
      <c r="A465" s="4">
        <f>IF(B465="","",ROW()-1)</f>
      </c>
      <c r="B465" s="5"/>
      <c r="C465" s="2">
        <f>IF(B465="","",IF(C465="",NOW(),C465))</f>
      </c>
    </row>
    <row r="466">
      <c r="A466" s="4">
        <f>IF(B466="","",ROW()-1)</f>
      </c>
      <c r="B466" s="5"/>
      <c r="C466" s="2">
        <f>IF(B466="","",IF(C466="",NOW(),C466))</f>
      </c>
    </row>
    <row r="467">
      <c r="A467" s="4">
        <f>IF(B467="","",ROW()-1)</f>
      </c>
      <c r="B467" s="5"/>
      <c r="C467" s="2">
        <f>IF(B467="","",IF(C467="",NOW(),C467))</f>
      </c>
    </row>
    <row r="468">
      <c r="A468" s="4">
        <f>IF(B468="","",ROW()-1)</f>
      </c>
      <c r="B468" s="5"/>
      <c r="C468" s="2">
        <f>IF(B468="","",IF(C468="",NOW(),C468))</f>
      </c>
    </row>
    <row r="469">
      <c r="A469" s="4">
        <f>IF(B469="","",ROW()-1)</f>
      </c>
      <c r="B469" s="5"/>
      <c r="C469" s="2">
        <f>IF(B469="","",IF(C469="",NOW(),C469))</f>
      </c>
    </row>
    <row r="470">
      <c r="A470" s="4">
        <f>IF(B470="","",ROW()-1)</f>
      </c>
      <c r="B470" s="5"/>
      <c r="C470" s="2">
        <f>IF(B470="","",IF(C470="",NOW(),C470))</f>
      </c>
    </row>
    <row r="471">
      <c r="A471" s="4">
        <f>IF(B471="","",ROW()-1)</f>
      </c>
      <c r="B471" s="5"/>
      <c r="C471" s="2">
        <f>IF(B471="","",IF(C471="",NOW(),C471))</f>
      </c>
    </row>
    <row r="472">
      <c r="A472" s="4">
        <f>IF(B472="","",ROW()-1)</f>
      </c>
      <c r="B472" s="5"/>
      <c r="C472" s="2">
        <f>IF(B472="","",IF(C472="",NOW(),C472))</f>
      </c>
    </row>
    <row r="473">
      <c r="A473" s="4">
        <f>IF(B473="","",ROW()-1)</f>
      </c>
      <c r="B473" s="5"/>
      <c r="C473" s="2">
        <f>IF(B473="","",IF(C473="",NOW(),C473))</f>
      </c>
    </row>
    <row r="474">
      <c r="A474" s="4">
        <f>IF(B474="","",ROW()-1)</f>
      </c>
      <c r="B474" s="5"/>
      <c r="C474" s="2">
        <f>IF(B474="","",IF(C474="",NOW(),C474))</f>
      </c>
    </row>
    <row r="475">
      <c r="A475" s="4">
        <f>IF(B475="","",ROW()-1)</f>
      </c>
      <c r="B475" s="5"/>
      <c r="C475" s="2">
        <f>IF(B475="","",IF(C475="",NOW(),C475))</f>
      </c>
    </row>
    <row r="476">
      <c r="A476" s="4">
        <f>IF(B476="","",ROW()-1)</f>
      </c>
      <c r="B476" s="5"/>
      <c r="C476" s="2">
        <f>IF(B476="","",IF(C476="",NOW(),C476))</f>
      </c>
    </row>
    <row r="477">
      <c r="A477" s="4">
        <f>IF(B477="","",ROW()-1)</f>
      </c>
      <c r="B477" s="5"/>
      <c r="C477" s="2">
        <f>IF(B477="","",IF(C477="",NOW(),C477))</f>
      </c>
    </row>
    <row r="478">
      <c r="A478" s="4">
        <f>IF(B478="","",ROW()-1)</f>
      </c>
      <c r="B478" s="5"/>
      <c r="C478" s="2">
        <f>IF(B478="","",IF(C478="",NOW(),C478))</f>
      </c>
    </row>
    <row r="479">
      <c r="A479" s="4">
        <f>IF(B479="","",ROW()-1)</f>
      </c>
      <c r="B479" s="5"/>
      <c r="C479" s="2">
        <f>IF(B479="","",IF(C479="",NOW(),C479))</f>
      </c>
    </row>
    <row r="480">
      <c r="A480" s="4">
        <f>IF(B480="","",ROW()-1)</f>
      </c>
      <c r="B480" s="5"/>
      <c r="C480" s="2">
        <f>IF(B480="","",IF(C480="",NOW(),C480))</f>
      </c>
    </row>
    <row r="481">
      <c r="A481" s="4">
        <f>IF(B481="","",ROW()-1)</f>
      </c>
      <c r="B481" s="5"/>
      <c r="C481" s="2">
        <f>IF(B481="","",IF(C481="",NOW(),C481))</f>
      </c>
    </row>
    <row r="482">
      <c r="A482" s="4">
        <f>IF(B482="","",ROW()-1)</f>
      </c>
      <c r="B482" s="5"/>
      <c r="C482" s="2">
        <f>IF(B482="","",IF(C482="",NOW(),C482))</f>
      </c>
    </row>
    <row r="483">
      <c r="A483" s="4">
        <f>IF(B483="","",ROW()-1)</f>
      </c>
      <c r="B483" s="5"/>
      <c r="C483" s="2">
        <f>IF(B483="","",IF(C483="",NOW(),C483))</f>
      </c>
    </row>
    <row r="484">
      <c r="A484" s="4">
        <f>IF(B484="","",ROW()-1)</f>
      </c>
      <c r="B484" s="5"/>
      <c r="C484" s="2">
        <f>IF(B484="","",IF(C484="",NOW(),C484))</f>
      </c>
    </row>
    <row r="485">
      <c r="A485" s="4">
        <f>IF(B485="","",ROW()-1)</f>
      </c>
      <c r="B485" s="5"/>
      <c r="C485" s="2">
        <f>IF(B485="","",IF(C485="",NOW(),C485))</f>
      </c>
    </row>
    <row r="486">
      <c r="A486" s="4">
        <f>IF(B486="","",ROW()-1)</f>
      </c>
      <c r="B486" s="5"/>
      <c r="C486" s="2">
        <f>IF(B486="","",IF(C486="",NOW(),C486))</f>
      </c>
    </row>
    <row r="487">
      <c r="A487" s="4">
        <f>IF(B487="","",ROW()-1)</f>
      </c>
      <c r="B487" s="5"/>
      <c r="C487" s="2">
        <f>IF(B487="","",IF(C487="",NOW(),C487))</f>
      </c>
    </row>
    <row r="488">
      <c r="A488" s="4">
        <f>IF(B488="","",ROW()-1)</f>
      </c>
      <c r="B488" s="5"/>
      <c r="C488" s="2">
        <f>IF(B488="","",IF(C488="",NOW(),C488))</f>
      </c>
    </row>
    <row r="489">
      <c r="A489" s="4">
        <f>IF(B489="","",ROW()-1)</f>
      </c>
      <c r="B489" s="5"/>
      <c r="C489" s="2">
        <f>IF(B489="","",IF(C489="",NOW(),C489))</f>
      </c>
    </row>
    <row r="490">
      <c r="A490" s="4">
        <f>IF(B490="","",ROW()-1)</f>
      </c>
      <c r="B490" s="5"/>
      <c r="C490" s="2">
        <f>IF(B490="","",IF(C490="",NOW(),C490))</f>
      </c>
    </row>
    <row r="491">
      <c r="A491" s="4">
        <f>IF(B491="","",ROW()-1)</f>
      </c>
      <c r="B491" s="5"/>
      <c r="C491" s="2">
        <f>IF(B491="","",IF(C491="",NOW(),C491))</f>
      </c>
    </row>
    <row r="492">
      <c r="A492" s="4">
        <f>IF(B492="","",ROW()-1)</f>
      </c>
      <c r="B492" s="5"/>
      <c r="C492" s="2">
        <f>IF(B492="","",IF(C492="",NOW(),C492))</f>
      </c>
    </row>
    <row r="493">
      <c r="A493" s="4">
        <f>IF(B493="","",ROW()-1)</f>
      </c>
      <c r="B493" s="5"/>
      <c r="C493" s="2">
        <f>IF(B493="","",IF(C493="",NOW(),C493))</f>
      </c>
    </row>
    <row r="494">
      <c r="A494" s="4">
        <f>IF(B494="","",ROW()-1)</f>
      </c>
      <c r="B494" s="5"/>
      <c r="C494" s="2">
        <f>IF(B494="","",IF(C494="",NOW(),C494))</f>
      </c>
    </row>
    <row r="495">
      <c r="A495" s="4">
        <f>IF(B495="","",ROW()-1)</f>
      </c>
      <c r="B495" s="5"/>
      <c r="C495" s="2">
        <f>IF(B495="","",IF(C495="",NOW(),C495))</f>
      </c>
    </row>
    <row r="496">
      <c r="A496" s="4">
        <f>IF(B496="","",ROW()-1)</f>
      </c>
      <c r="B496" s="5"/>
      <c r="C496" s="2">
        <f>IF(B496="","",IF(C496="",NOW(),C496))</f>
      </c>
    </row>
    <row r="497">
      <c r="A497" s="4">
        <f>IF(B497="","",ROW()-1)</f>
      </c>
      <c r="B497" s="5"/>
      <c r="C497" s="2">
        <f>IF(B497="","",IF(C497="",NOW(),C497))</f>
      </c>
    </row>
    <row r="498">
      <c r="A498" s="4">
        <f>IF(B498="","",ROW()-1)</f>
      </c>
      <c r="B498" s="5"/>
      <c r="C498" s="2">
        <f>IF(B498="","",IF(C498="",NOW(),C498))</f>
      </c>
    </row>
    <row r="499">
      <c r="A499" s="4">
        <f>IF(B499="","",ROW()-1)</f>
      </c>
      <c r="B499" s="5"/>
      <c r="C499" s="2">
        <f>IF(B499="","",IF(C499="",NOW(),C499))</f>
      </c>
    </row>
    <row r="500">
      <c r="A500" s="4">
        <f>IF(B500="","",ROW()-1)</f>
      </c>
      <c r="B500" s="5"/>
      <c r="C500" s="2">
        <f>IF(B500="","",IF(C500="",NOW(),C500))</f>
      </c>
    </row>
    <row r="501">
      <c r="A501" s="4">
        <f>IF(B501="","",ROW()-1)</f>
      </c>
      <c r="B501" s="5"/>
      <c r="C501" s="2">
        <f>IF(B501="","",IF(C501="",NOW(),C501))</f>
      </c>
    </row>
    <row r="502">
      <c r="A502" s="4">
        <f>IF(B502="","",ROW()-1)</f>
      </c>
      <c r="B502" s="5"/>
      <c r="C502" s="2">
        <f>IF(B502="","",IF(C502="",NOW(),C502))</f>
      </c>
    </row>
    <row r="503">
      <c r="A503" s="4">
        <f>IF(B503="","",ROW()-1)</f>
      </c>
      <c r="B503" s="5"/>
      <c r="C503" s="2">
        <f>IF(B503="","",IF(C503="",NOW(),C503))</f>
      </c>
    </row>
    <row r="504">
      <c r="A504" s="4">
        <f>IF(B504="","",ROW()-1)</f>
      </c>
      <c r="B504" s="5"/>
      <c r="C504" s="2">
        <f>IF(B504="","",IF(C504="",NOW(),C504))</f>
      </c>
    </row>
    <row r="505">
      <c r="A505" s="4">
        <f>IF(B505="","",ROW()-1)</f>
      </c>
      <c r="B505" s="5"/>
      <c r="C505" s="2">
        <f>IF(B505="","",IF(C505="",NOW(),C505))</f>
      </c>
    </row>
    <row r="506">
      <c r="A506" s="4">
        <f>IF(B506="","",ROW()-1)</f>
      </c>
      <c r="B506" s="5"/>
      <c r="C506" s="2">
        <f>IF(B506="","",IF(C506="",NOW(),C506))</f>
      </c>
    </row>
    <row r="507">
      <c r="A507" s="4">
        <f>IF(B507="","",ROW()-1)</f>
      </c>
      <c r="B507" s="5"/>
      <c r="C507" s="2">
        <f>IF(B507="","",IF(C507="",NOW(),C507))</f>
      </c>
    </row>
    <row r="508">
      <c r="A508" s="4">
        <f>IF(B508="","",ROW()-1)</f>
      </c>
      <c r="B508" s="5"/>
      <c r="C508" s="2">
        <f>IF(B508="","",IF(C508="",NOW(),C508))</f>
      </c>
    </row>
    <row r="509">
      <c r="A509" s="4">
        <f>IF(B509="","",ROW()-1)</f>
      </c>
      <c r="B509" s="5"/>
      <c r="C509" s="2">
        <f>IF(B509="","",IF(C509="",NOW(),C509))</f>
      </c>
    </row>
    <row r="510">
      <c r="A510" s="4">
        <f>IF(B510="","",ROW()-1)</f>
      </c>
      <c r="B510" s="5"/>
      <c r="C510" s="2">
        <f>IF(B510="","",IF(C510="",NOW(),C510))</f>
      </c>
    </row>
    <row r="511">
      <c r="A511" s="4">
        <f>IF(B511="","",ROW()-1)</f>
      </c>
      <c r="B511" s="5"/>
      <c r="C511" s="2">
        <f>IF(B511="","",IF(C511="",NOW(),C511))</f>
      </c>
    </row>
    <row r="512">
      <c r="A512" s="4">
        <f>IF(B512="","",ROW()-1)</f>
      </c>
      <c r="B512" s="5"/>
      <c r="C512" s="2">
        <f>IF(B512="","",IF(C512="",NOW(),C512))</f>
      </c>
    </row>
    <row r="513">
      <c r="A513" s="4">
        <f>IF(B513="","",ROW()-1)</f>
      </c>
      <c r="B513" s="5"/>
      <c r="C513" s="2">
        <f>IF(B513="","",IF(C513="",NOW(),C513))</f>
      </c>
    </row>
    <row r="514">
      <c r="A514" s="4">
        <f>IF(B514="","",ROW()-1)</f>
      </c>
      <c r="B514" s="5"/>
      <c r="C514" s="2">
        <f>IF(B514="","",IF(C514="",NOW(),C514))</f>
      </c>
    </row>
    <row r="515">
      <c r="A515" s="4">
        <f>IF(B515="","",ROW()-1)</f>
      </c>
      <c r="B515" s="5"/>
      <c r="C515" s="2">
        <f>IF(B515="","",IF(C515="",NOW(),C515))</f>
      </c>
    </row>
    <row r="516">
      <c r="A516" s="4">
        <f>IF(B516="","",ROW()-1)</f>
      </c>
      <c r="B516" s="5"/>
      <c r="C516" s="2">
        <f>IF(B516="","",IF(C516="",NOW(),C516))</f>
      </c>
    </row>
    <row r="517">
      <c r="A517" s="4">
        <f>IF(B517="","",ROW()-1)</f>
      </c>
      <c r="B517" s="5"/>
      <c r="C517" s="2">
        <f>IF(B517="","",IF(C517="",NOW(),C517))</f>
      </c>
    </row>
    <row r="518">
      <c r="A518" s="4">
        <f>IF(B518="","",ROW()-1)</f>
      </c>
      <c r="B518" s="5"/>
      <c r="C518" s="2">
        <f>IF(B518="","",IF(C518="",NOW(),C518))</f>
      </c>
    </row>
    <row r="519">
      <c r="A519" s="4">
        <f>IF(B519="","",ROW()-1)</f>
      </c>
      <c r="B519" s="5"/>
      <c r="C519" s="2">
        <f>IF(B519="","",IF(C519="",NOW(),C519))</f>
      </c>
    </row>
    <row r="520">
      <c r="A520" s="4">
        <f>IF(B520="","",ROW()-1)</f>
      </c>
      <c r="B520" s="5"/>
      <c r="C520" s="2">
        <f>IF(B520="","",IF(C520="",NOW(),C520))</f>
      </c>
    </row>
    <row r="521">
      <c r="A521" s="4">
        <f>IF(B521="","",ROW()-1)</f>
      </c>
      <c r="B521" s="5"/>
      <c r="C521" s="2">
        <f>IF(B521="","",IF(C521="",NOW(),C521))</f>
      </c>
    </row>
    <row r="522">
      <c r="A522" s="4">
        <f>IF(B522="","",ROW()-1)</f>
      </c>
      <c r="B522" s="5"/>
      <c r="C522" s="2">
        <f>IF(B522="","",IF(C522="",NOW(),C522))</f>
      </c>
    </row>
    <row r="523">
      <c r="A523" s="4">
        <f>IF(B523="","",ROW()-1)</f>
      </c>
      <c r="B523" s="5"/>
      <c r="C523" s="2">
        <f>IF(B523="","",IF(C523="",NOW(),C523))</f>
      </c>
    </row>
    <row r="524">
      <c r="A524" s="4">
        <f>IF(B524="","",ROW()-1)</f>
      </c>
      <c r="B524" s="5"/>
      <c r="C524" s="2">
        <f>IF(B524="","",IF(C524="",NOW(),C524))</f>
      </c>
    </row>
    <row r="525">
      <c r="A525" s="4">
        <f>IF(B525="","",ROW()-1)</f>
      </c>
      <c r="B525" s="5"/>
      <c r="C525" s="2">
        <f>IF(B525="","",IF(C525="",NOW(),C525))</f>
      </c>
    </row>
    <row r="526">
      <c r="A526" s="4">
        <f>IF(B526="","",ROW()-1)</f>
      </c>
      <c r="B526" s="5"/>
      <c r="C526" s="2">
        <f>IF(B526="","",IF(C526="",NOW(),C526))</f>
      </c>
    </row>
    <row r="527">
      <c r="A527" s="4">
        <f>IF(B527="","",ROW()-1)</f>
      </c>
      <c r="B527" s="5"/>
      <c r="C527" s="2">
        <f>IF(B527="","",IF(C527="",NOW(),C527))</f>
      </c>
    </row>
    <row r="528">
      <c r="A528" s="4">
        <f>IF(B528="","",ROW()-1)</f>
      </c>
      <c r="B528" s="5"/>
      <c r="C528" s="2">
        <f>IF(B528="","",IF(C528="",NOW(),C528))</f>
      </c>
    </row>
    <row r="529">
      <c r="A529" s="4">
        <f>IF(B529="","",ROW()-1)</f>
      </c>
      <c r="B529" s="5"/>
      <c r="C529" s="2">
        <f>IF(B529="","",IF(C529="",NOW(),C529))</f>
      </c>
    </row>
    <row r="530">
      <c r="A530" s="4">
        <f>IF(B530="","",ROW()-1)</f>
      </c>
      <c r="B530" s="5"/>
      <c r="C530" s="2">
        <f>IF(B530="","",IF(C530="",NOW(),C530))</f>
      </c>
    </row>
    <row r="531">
      <c r="A531" s="4">
        <f>IF(B531="","",ROW()-1)</f>
      </c>
      <c r="B531" s="5"/>
      <c r="C531" s="2">
        <f>IF(B531="","",IF(C531="",NOW(),C531))</f>
      </c>
    </row>
    <row r="532">
      <c r="A532" s="4">
        <f>IF(B532="","",ROW()-1)</f>
      </c>
      <c r="B532" s="5"/>
      <c r="C532" s="2">
        <f>IF(B532="","",IF(C532="",NOW(),C532))</f>
      </c>
    </row>
    <row r="533">
      <c r="A533" s="4">
        <f>IF(B533="","",ROW()-1)</f>
      </c>
      <c r="B533" s="5"/>
      <c r="C533" s="2">
        <f>IF(B533="","",IF(C533="",NOW(),C533))</f>
      </c>
    </row>
    <row r="534">
      <c r="A534" s="4">
        <f>IF(B534="","",ROW()-1)</f>
      </c>
      <c r="B534" s="5"/>
      <c r="C534" s="2">
        <f>IF(B534="","",IF(C534="",NOW(),C534))</f>
      </c>
    </row>
    <row r="535">
      <c r="A535" s="4">
        <f>IF(B535="","",ROW()-1)</f>
      </c>
      <c r="B535" s="5"/>
      <c r="C535" s="2">
        <f>IF(B535="","",IF(C535="",NOW(),C535))</f>
      </c>
    </row>
    <row r="536">
      <c r="A536" s="4">
        <f>IF(B536="","",ROW()-1)</f>
      </c>
      <c r="B536" s="5"/>
      <c r="C536" s="2">
        <f>IF(B536="","",IF(C536="",NOW(),C536))</f>
      </c>
    </row>
    <row r="537">
      <c r="A537" s="4">
        <f>IF(B537="","",ROW()-1)</f>
      </c>
      <c r="B537" s="5"/>
      <c r="C537" s="2">
        <f>IF(B537="","",IF(C537="",NOW(),C537))</f>
      </c>
    </row>
    <row r="538">
      <c r="A538" s="4">
        <f>IF(B538="","",ROW()-1)</f>
      </c>
      <c r="B538" s="5"/>
      <c r="C538" s="2">
        <f>IF(B538="","",IF(C538="",NOW(),C538))</f>
      </c>
    </row>
    <row r="539">
      <c r="A539" s="4">
        <f>IF(B539="","",ROW()-1)</f>
      </c>
      <c r="B539" s="5"/>
      <c r="C539" s="2">
        <f>IF(B539="","",IF(C539="",NOW(),C539))</f>
      </c>
    </row>
    <row r="540">
      <c r="A540" s="4">
        <f>IF(B540="","",ROW()-1)</f>
      </c>
      <c r="B540" s="5"/>
      <c r="C540" s="2">
        <f>IF(B540="","",IF(C540="",NOW(),C540))</f>
      </c>
    </row>
    <row r="541">
      <c r="A541" s="4">
        <f>IF(B541="","",ROW()-1)</f>
      </c>
      <c r="B541" s="5"/>
      <c r="C541" s="2">
        <f>IF(B541="","",IF(C541="",NOW(),C541))</f>
      </c>
    </row>
    <row r="542">
      <c r="A542" s="4">
        <f>IF(B542="","",ROW()-1)</f>
      </c>
      <c r="B542" s="5"/>
      <c r="C542" s="2">
        <f>IF(B542="","",IF(C542="",NOW(),C542))</f>
      </c>
    </row>
    <row r="543">
      <c r="A543" s="4">
        <f>IF(B543="","",ROW()-1)</f>
      </c>
      <c r="B543" s="5"/>
      <c r="C543" s="2">
        <f>IF(B543="","",IF(C543="",NOW(),C543))</f>
      </c>
    </row>
    <row r="544">
      <c r="A544" s="4">
        <f>IF(B544="","",ROW()-1)</f>
      </c>
      <c r="B544" s="5"/>
      <c r="C544" s="2">
        <f>IF(B544="","",IF(C544="",NOW(),C544))</f>
      </c>
    </row>
    <row r="545">
      <c r="A545" s="4">
        <f>IF(B545="","",ROW()-1)</f>
      </c>
      <c r="B545" s="5"/>
      <c r="C545" s="2">
        <f>IF(B545="","",IF(C545="",NOW(),C545))</f>
      </c>
    </row>
    <row r="546">
      <c r="A546" s="4">
        <f>IF(B546="","",ROW()-1)</f>
      </c>
      <c r="B546" s="5"/>
      <c r="C546" s="2">
        <f>IF(B546="","",IF(C546="",NOW(),C546))</f>
      </c>
    </row>
    <row r="547">
      <c r="A547" s="4">
        <f>IF(B547="","",ROW()-1)</f>
      </c>
      <c r="B547" s="5"/>
      <c r="C547" s="2">
        <f>IF(B547="","",IF(C547="",NOW(),C547))</f>
      </c>
    </row>
    <row r="548">
      <c r="A548" s="4">
        <f>IF(B548="","",ROW()-1)</f>
      </c>
      <c r="B548" s="5"/>
      <c r="C548" s="2">
        <f>IF(B548="","",IF(C548="",NOW(),C548))</f>
      </c>
    </row>
    <row r="549">
      <c r="A549" s="4">
        <f>IF(B549="","",ROW()-1)</f>
      </c>
      <c r="B549" s="5"/>
      <c r="C549" s="2">
        <f>IF(B549="","",IF(C549="",NOW(),C549))</f>
      </c>
    </row>
    <row r="550">
      <c r="A550" s="4">
        <f>IF(B550="","",ROW()-1)</f>
      </c>
      <c r="B550" s="5"/>
      <c r="C550" s="2">
        <f>IF(B550="","",IF(C550="",NOW(),C550))</f>
      </c>
    </row>
    <row r="551">
      <c r="A551" s="4">
        <f>IF(B551="","",ROW()-1)</f>
      </c>
      <c r="B551" s="5"/>
      <c r="C551" s="2">
        <f>IF(B551="","",IF(C551="",NOW(),C551))</f>
      </c>
    </row>
    <row r="552">
      <c r="A552" s="4">
        <f>IF(B552="","",ROW()-1)</f>
      </c>
      <c r="B552" s="5"/>
      <c r="C552" s="2">
        <f>IF(B552="","",IF(C552="",NOW(),C552))</f>
      </c>
    </row>
    <row r="553">
      <c r="A553" s="4">
        <f>IF(B553="","",ROW()-1)</f>
      </c>
      <c r="B553" s="5"/>
      <c r="C553" s="2">
        <f>IF(B553="","",IF(C553="",NOW(),C553))</f>
      </c>
    </row>
    <row r="554">
      <c r="A554" s="4">
        <f>IF(B554="","",ROW()-1)</f>
      </c>
      <c r="B554" s="5"/>
      <c r="C554" s="2">
        <f>IF(B554="","",IF(C554="",NOW(),C554))</f>
      </c>
    </row>
    <row r="555">
      <c r="A555" s="4">
        <f>IF(B555="","",ROW()-1)</f>
      </c>
      <c r="B555" s="5"/>
      <c r="C555" s="2">
        <f>IF(B555="","",IF(C555="",NOW(),C555))</f>
      </c>
    </row>
    <row r="556">
      <c r="A556" s="4">
        <f>IF(B556="","",ROW()-1)</f>
      </c>
      <c r="B556" s="5"/>
      <c r="C556" s="2">
        <f>IF(B556="","",IF(C556="",NOW(),C556))</f>
      </c>
    </row>
    <row r="557">
      <c r="A557" s="4">
        <f>IF(B557="","",ROW()-1)</f>
      </c>
      <c r="B557" s="5"/>
      <c r="C557" s="2">
        <f>IF(B557="","",IF(C557="",NOW(),C557))</f>
      </c>
    </row>
    <row r="558">
      <c r="A558" s="4">
        <f>IF(B558="","",ROW()-1)</f>
      </c>
      <c r="B558" s="5"/>
      <c r="C558" s="2">
        <f>IF(B558="","",IF(C558="",NOW(),C558))</f>
      </c>
    </row>
    <row r="559">
      <c r="A559" s="4">
        <f>IF(B559="","",ROW()-1)</f>
      </c>
      <c r="B559" s="5"/>
      <c r="C559" s="2">
        <f>IF(B559="","",IF(C559="",NOW(),C559))</f>
      </c>
    </row>
    <row r="560">
      <c r="A560" s="4">
        <f>IF(B560="","",ROW()-1)</f>
      </c>
      <c r="B560" s="5"/>
      <c r="C560" s="2">
        <f>IF(B560="","",IF(C560="",NOW(),C560))</f>
      </c>
    </row>
    <row r="561">
      <c r="A561" s="4">
        <f>IF(B561="","",ROW()-1)</f>
      </c>
      <c r="B561" s="5"/>
      <c r="C561" s="2">
        <f>IF(B561="","",IF(C561="",NOW(),C561))</f>
      </c>
    </row>
    <row r="562">
      <c r="A562" s="4">
        <f>IF(B562="","",ROW()-1)</f>
      </c>
      <c r="B562" s="5"/>
      <c r="C562" s="2">
        <f>IF(B562="","",IF(C562="",NOW(),C562))</f>
      </c>
    </row>
    <row r="563">
      <c r="A563" s="4">
        <f>IF(B563="","",ROW()-1)</f>
      </c>
      <c r="B563" s="5"/>
      <c r="C563" s="2">
        <f>IF(B563="","",IF(C563="",NOW(),C563))</f>
      </c>
    </row>
    <row r="564">
      <c r="A564" s="4">
        <f>IF(B564="","",ROW()-1)</f>
      </c>
      <c r="B564" s="5"/>
      <c r="C564" s="2">
        <f>IF(B564="","",IF(C564="",NOW(),C564))</f>
      </c>
    </row>
    <row r="565">
      <c r="A565" s="4">
        <f>IF(B565="","",ROW()-1)</f>
      </c>
      <c r="B565" s="5"/>
      <c r="C565" s="2">
        <f>IF(B565="","",IF(C565="",NOW(),C565))</f>
      </c>
    </row>
    <row r="566">
      <c r="A566" s="4">
        <f>IF(B566="","",ROW()-1)</f>
      </c>
      <c r="B566" s="5"/>
      <c r="C566" s="2">
        <f>IF(B566="","",IF(C566="",NOW(),C566))</f>
      </c>
    </row>
    <row r="567">
      <c r="A567" s="4">
        <f>IF(B567="","",ROW()-1)</f>
      </c>
      <c r="B567" s="5"/>
      <c r="C567" s="2">
        <f>IF(B567="","",IF(C567="",NOW(),C567))</f>
      </c>
    </row>
    <row r="568">
      <c r="A568" s="4">
        <f>IF(B568="","",ROW()-1)</f>
      </c>
      <c r="B568" s="5"/>
      <c r="C568" s="2">
        <f>IF(B568="","",IF(C568="",NOW(),C568))</f>
      </c>
    </row>
    <row r="569">
      <c r="A569" s="4">
        <f>IF(B569="","",ROW()-1)</f>
      </c>
      <c r="B569" s="5"/>
      <c r="C569" s="2">
        <f>IF(B569="","",IF(C569="",NOW(),C569))</f>
      </c>
    </row>
    <row r="570">
      <c r="A570" s="4">
        <f>IF(B570="","",ROW()-1)</f>
      </c>
      <c r="B570" s="5"/>
      <c r="C570" s="2">
        <f>IF(B570="","",IF(C570="",NOW(),C570))</f>
      </c>
    </row>
    <row r="571">
      <c r="A571" s="4">
        <f>IF(B571="","",ROW()-1)</f>
      </c>
      <c r="B571" s="5"/>
      <c r="C571" s="2">
        <f>IF(B571="","",IF(C571="",NOW(),C571))</f>
      </c>
    </row>
    <row r="572">
      <c r="A572" s="4">
        <f>IF(B572="","",ROW()-1)</f>
      </c>
      <c r="B572" s="5"/>
      <c r="C572" s="2">
        <f>IF(B572="","",IF(C572="",NOW(),C572))</f>
      </c>
    </row>
    <row r="573">
      <c r="A573" s="4">
        <f>IF(B573="","",ROW()-1)</f>
      </c>
      <c r="B573" s="5"/>
      <c r="C573" s="2">
        <f>IF(B573="","",IF(C573="",NOW(),C573))</f>
      </c>
    </row>
    <row r="574">
      <c r="A574" s="4">
        <f>IF(B574="","",ROW()-1)</f>
      </c>
      <c r="B574" s="5"/>
      <c r="C574" s="2">
        <f>IF(B574="","",IF(C574="",NOW(),C574))</f>
      </c>
    </row>
    <row r="575">
      <c r="A575" s="4">
        <f>IF(B575="","",ROW()-1)</f>
      </c>
      <c r="B575" s="5"/>
      <c r="C575" s="2">
        <f>IF(B575="","",IF(C575="",NOW(),C575))</f>
      </c>
    </row>
    <row r="576">
      <c r="A576" s="4">
        <f>IF(B576="","",ROW()-1)</f>
      </c>
      <c r="B576" s="5"/>
      <c r="C576" s="2">
        <f>IF(B576="","",IF(C576="",NOW(),C576))</f>
      </c>
    </row>
    <row r="577">
      <c r="A577" s="4">
        <f>IF(B577="","",ROW()-1)</f>
      </c>
      <c r="B577" s="5"/>
      <c r="C577" s="2">
        <f>IF(B577="","",IF(C577="",NOW(),C577))</f>
      </c>
    </row>
    <row r="578">
      <c r="A578" s="4">
        <f>IF(B578="","",ROW()-1)</f>
      </c>
      <c r="B578" s="5"/>
      <c r="C578" s="2">
        <f>IF(B578="","",IF(C578="",NOW(),C578))</f>
      </c>
    </row>
    <row r="579">
      <c r="A579" s="4">
        <f>IF(B579="","",ROW()-1)</f>
      </c>
      <c r="B579" s="5"/>
      <c r="C579" s="2">
        <f>IF(B579="","",IF(C579="",NOW(),C579))</f>
      </c>
    </row>
    <row r="580">
      <c r="A580" s="4">
        <f>IF(B580="","",ROW()-1)</f>
      </c>
      <c r="B580" s="5"/>
      <c r="C580" s="2">
        <f>IF(B580="","",IF(C580="",NOW(),C580))</f>
      </c>
    </row>
    <row r="581">
      <c r="A581" s="4">
        <f>IF(B581="","",ROW()-1)</f>
      </c>
      <c r="B581" s="5"/>
      <c r="C581" s="2">
        <f>IF(B581="","",IF(C581="",NOW(),C581))</f>
      </c>
    </row>
    <row r="582">
      <c r="A582" s="4">
        <f>IF(B582="","",ROW()-1)</f>
      </c>
      <c r="B582" s="5"/>
      <c r="C582" s="2">
        <f>IF(B582="","",IF(C582="",NOW(),C582))</f>
      </c>
    </row>
    <row r="583">
      <c r="A583" s="4">
        <f>IF(B583="","",ROW()-1)</f>
      </c>
      <c r="B583" s="5"/>
      <c r="C583" s="2">
        <f>IF(B583="","",IF(C583="",NOW(),C583))</f>
      </c>
    </row>
    <row r="584">
      <c r="A584" s="4">
        <f>IF(B584="","",ROW()-1)</f>
      </c>
      <c r="B584" s="5"/>
      <c r="C584" s="2">
        <f>IF(B584="","",IF(C584="",NOW(),C584))</f>
      </c>
    </row>
    <row r="585">
      <c r="A585" s="4">
        <f>IF(B585="","",ROW()-1)</f>
      </c>
      <c r="B585" s="5"/>
      <c r="C585" s="2">
        <f>IF(B585="","",IF(C585="",NOW(),C585))</f>
      </c>
    </row>
    <row r="586">
      <c r="A586" s="4">
        <f>IF(B586="","",ROW()-1)</f>
      </c>
      <c r="B586" s="5"/>
      <c r="C586" s="2">
        <f>IF(B586="","",IF(C586="",NOW(),C586))</f>
      </c>
    </row>
    <row r="587">
      <c r="A587" s="4">
        <f>IF(B587="","",ROW()-1)</f>
      </c>
      <c r="B587" s="5"/>
      <c r="C587" s="2">
        <f>IF(B587="","",IF(C587="",NOW(),C587))</f>
      </c>
    </row>
    <row r="588">
      <c r="A588" s="4">
        <f>IF(B588="","",ROW()-1)</f>
      </c>
      <c r="B588" s="5"/>
      <c r="C588" s="2">
        <f>IF(B588="","",IF(C588="",NOW(),C588))</f>
      </c>
    </row>
    <row r="589">
      <c r="A589" s="4">
        <f>IF(B589="","",ROW()-1)</f>
      </c>
      <c r="B589" s="5"/>
      <c r="C589" s="2">
        <f>IF(B589="","",IF(C589="",NOW(),C589))</f>
      </c>
    </row>
    <row r="590">
      <c r="A590" s="4">
        <f>IF(B590="","",ROW()-1)</f>
      </c>
      <c r="B590" s="5"/>
      <c r="C590" s="2">
        <f>IF(B590="","",IF(C590="",NOW(),C590))</f>
      </c>
    </row>
    <row r="591">
      <c r="A591" s="4">
        <f>IF(B591="","",ROW()-1)</f>
      </c>
      <c r="B591" s="5"/>
      <c r="C591" s="2">
        <f>IF(B591="","",IF(C591="",NOW(),C591))</f>
      </c>
    </row>
    <row r="592">
      <c r="A592" s="4">
        <f>IF(B592="","",ROW()-1)</f>
      </c>
      <c r="B592" s="5"/>
      <c r="C592" s="2">
        <f>IF(B592="","",IF(C592="",NOW(),C592))</f>
      </c>
    </row>
    <row r="593">
      <c r="A593" s="4">
        <f>IF(B593="","",ROW()-1)</f>
      </c>
      <c r="B593" s="5"/>
      <c r="C593" s="2">
        <f>IF(B593="","",IF(C593="",NOW(),C593))</f>
      </c>
    </row>
    <row r="594">
      <c r="A594" s="4">
        <f>IF(B594="","",ROW()-1)</f>
      </c>
      <c r="B594" s="5"/>
      <c r="C594" s="2">
        <f>IF(B594="","",IF(C594="",NOW(),C594))</f>
      </c>
    </row>
    <row r="595">
      <c r="A595" s="4">
        <f>IF(B595="","",ROW()-1)</f>
      </c>
      <c r="B595" s="5"/>
      <c r="C595" s="2">
        <f>IF(B595="","",IF(C595="",NOW(),C595))</f>
      </c>
    </row>
    <row r="596">
      <c r="A596" s="4">
        <f>IF(B596="","",ROW()-1)</f>
      </c>
      <c r="B596" s="5"/>
      <c r="C596" s="2">
        <f>IF(B596="","",IF(C596="",NOW(),C596))</f>
      </c>
    </row>
    <row r="597">
      <c r="A597" s="4">
        <f>IF(B597="","",ROW()-1)</f>
      </c>
      <c r="B597" s="5"/>
      <c r="C597" s="2">
        <f>IF(B597="","",IF(C597="",NOW(),C597))</f>
      </c>
    </row>
    <row r="598">
      <c r="A598" s="4">
        <f>IF(B598="","",ROW()-1)</f>
      </c>
      <c r="B598" s="5"/>
      <c r="C598" s="2">
        <f>IF(B598="","",IF(C598="",NOW(),C598))</f>
      </c>
    </row>
    <row r="599">
      <c r="A599" s="4">
        <f>IF(B599="","",ROW()-1)</f>
      </c>
      <c r="B599" s="5"/>
      <c r="C599" s="2">
        <f>IF(B599="","",IF(C599="",NOW(),C599))</f>
      </c>
    </row>
    <row r="600">
      <c r="A600" s="4">
        <f>IF(B600="","",ROW()-1)</f>
      </c>
      <c r="B600" s="5"/>
      <c r="C600" s="2">
        <f>IF(B600="","",IF(C600="",NOW(),C600))</f>
      </c>
    </row>
    <row r="601">
      <c r="A601" s="4">
        <f>IF(B601="","",ROW()-1)</f>
      </c>
      <c r="B601" s="5"/>
      <c r="C601" s="2">
        <f>IF(B601="","",IF(C601="",NOW(),C601))</f>
      </c>
    </row>
    <row r="602">
      <c r="A602" s="4">
        <f>IF(B602="","",ROW()-1)</f>
      </c>
      <c r="B602" s="5"/>
      <c r="C602" s="2">
        <f>IF(B602="","",IF(C602="",NOW(),C602))</f>
      </c>
    </row>
    <row r="603">
      <c r="A603" s="4">
        <f>IF(B603="","",ROW()-1)</f>
      </c>
      <c r="B603" s="5"/>
      <c r="C603" s="2">
        <f>IF(B603="","",IF(C603="",NOW(),C603))</f>
      </c>
    </row>
    <row r="604">
      <c r="A604" s="4">
        <f>IF(B604="","",ROW()-1)</f>
      </c>
      <c r="B604" s="5"/>
      <c r="C604" s="2">
        <f>IF(B604="","",IF(C604="",NOW(),C604))</f>
      </c>
    </row>
    <row r="605">
      <c r="A605" s="4">
        <f>IF(B605="","",ROW()-1)</f>
      </c>
      <c r="B605" s="5"/>
      <c r="C605" s="2">
        <f>IF(B605="","",IF(C605="",NOW(),C605))</f>
      </c>
    </row>
    <row r="606">
      <c r="A606" s="4">
        <f>IF(B606="","",ROW()-1)</f>
      </c>
      <c r="B606" s="5"/>
      <c r="C606" s="2">
        <f>IF(B606="","",IF(C606="",NOW(),C606))</f>
      </c>
    </row>
    <row r="607">
      <c r="A607" s="4">
        <f>IF(B607="","",ROW()-1)</f>
      </c>
      <c r="B607" s="5"/>
      <c r="C607" s="2">
        <f>IF(B607="","",IF(C607="",NOW(),C607))</f>
      </c>
    </row>
    <row r="608">
      <c r="A608" s="4">
        <f>IF(B608="","",ROW()-1)</f>
      </c>
      <c r="B608" s="5"/>
      <c r="C608" s="2">
        <f>IF(B608="","",IF(C608="",NOW(),C608))</f>
      </c>
    </row>
    <row r="609">
      <c r="A609" s="4">
        <f>IF(B609="","",ROW()-1)</f>
      </c>
      <c r="B609" s="5"/>
      <c r="C609" s="2">
        <f>IF(B609="","",IF(C609="",NOW(),C609))</f>
      </c>
    </row>
    <row r="610">
      <c r="A610" s="4">
        <f>IF(B610="","",ROW()-1)</f>
      </c>
      <c r="B610" s="5"/>
      <c r="C610" s="2">
        <f>IF(B610="","",IF(C610="",NOW(),C610))</f>
      </c>
    </row>
    <row r="611">
      <c r="A611" s="4">
        <f>IF(B611="","",ROW()-1)</f>
      </c>
      <c r="B611" s="5"/>
      <c r="C611" s="2">
        <f>IF(B611="","",IF(C611="",NOW(),C611))</f>
      </c>
    </row>
    <row r="612">
      <c r="A612" s="4">
        <f>IF(B612="","",ROW()-1)</f>
      </c>
      <c r="B612" s="5"/>
      <c r="C612" s="2">
        <f>IF(B612="","",IF(C612="",NOW(),C612))</f>
      </c>
    </row>
    <row r="613">
      <c r="A613" s="4">
        <f>IF(B613="","",ROW()-1)</f>
      </c>
      <c r="B613" s="5"/>
      <c r="C613" s="2">
        <f>IF(B613="","",IF(C613="",NOW(),C613))</f>
      </c>
    </row>
    <row r="614">
      <c r="A614" s="4">
        <f>IF(B614="","",ROW()-1)</f>
      </c>
      <c r="B614" s="5"/>
      <c r="C614" s="2">
        <f>IF(B614="","",IF(C614="",NOW(),C614))</f>
      </c>
    </row>
    <row r="615">
      <c r="A615" s="4">
        <f>IF(B615="","",ROW()-1)</f>
      </c>
      <c r="B615" s="5"/>
      <c r="C615" s="2">
        <f>IF(B615="","",IF(C615="",NOW(),C615))</f>
      </c>
    </row>
    <row r="616">
      <c r="A616" s="4">
        <f>IF(B616="","",ROW()-1)</f>
      </c>
      <c r="B616" s="5"/>
      <c r="C616" s="2">
        <f>IF(B616="","",IF(C616="",NOW(),C616))</f>
      </c>
    </row>
    <row r="617">
      <c r="A617" s="4">
        <f>IF(B617="","",ROW()-1)</f>
      </c>
      <c r="B617" s="5"/>
      <c r="C617" s="2">
        <f>IF(B617="","",IF(C617="",NOW(),C617))</f>
      </c>
    </row>
    <row r="618">
      <c r="A618" s="4">
        <f>IF(B618="","",ROW()-1)</f>
      </c>
      <c r="B618" s="5"/>
      <c r="C618" s="2">
        <f>IF(B618="","",IF(C618="",NOW(),C618))</f>
      </c>
    </row>
    <row r="619">
      <c r="A619" s="4">
        <f>IF(B619="","",ROW()-1)</f>
      </c>
      <c r="B619" s="5"/>
      <c r="C619" s="2">
        <f>IF(B619="","",IF(C619="",NOW(),C619))</f>
      </c>
    </row>
    <row r="620">
      <c r="A620" s="4">
        <f>IF(B620="","",ROW()-1)</f>
      </c>
      <c r="B620" s="5"/>
      <c r="C620" s="2">
        <f>IF(B620="","",IF(C620="",NOW(),C620))</f>
      </c>
    </row>
    <row r="621">
      <c r="A621" s="4">
        <f>IF(B621="","",ROW()-1)</f>
      </c>
      <c r="B621" s="5"/>
      <c r="C621" s="2">
        <f>IF(B621="","",IF(C621="",NOW(),C621))</f>
      </c>
    </row>
    <row r="622">
      <c r="A622" s="4">
        <f>IF(B622="","",ROW()-1)</f>
      </c>
      <c r="B622" s="5"/>
      <c r="C622" s="2">
        <f>IF(B622="","",IF(C622="",NOW(),C622))</f>
      </c>
    </row>
    <row r="623">
      <c r="A623" s="4">
        <f>IF(B623="","",ROW()-1)</f>
      </c>
      <c r="B623" s="5"/>
      <c r="C623" s="2">
        <f>IF(B623="","",IF(C623="",NOW(),C623))</f>
      </c>
    </row>
    <row r="624">
      <c r="A624" s="4">
        <f>IF(B624="","",ROW()-1)</f>
      </c>
      <c r="B624" s="5"/>
      <c r="C624" s="2">
        <f>IF(B624="","",IF(C624="",NOW(),C624))</f>
      </c>
    </row>
    <row r="625">
      <c r="A625" s="4">
        <f>IF(B625="","",ROW()-1)</f>
      </c>
      <c r="B625" s="5"/>
      <c r="C625" s="2">
        <f>IF(B625="","",IF(C625="",NOW(),C625))</f>
      </c>
    </row>
    <row r="626">
      <c r="A626" s="4">
        <f>IF(B626="","",ROW()-1)</f>
      </c>
      <c r="B626" s="5"/>
      <c r="C626" s="2">
        <f>IF(B626="","",IF(C626="",NOW(),C626))</f>
      </c>
    </row>
    <row r="627">
      <c r="A627" s="4">
        <f>IF(B627="","",ROW()-1)</f>
      </c>
      <c r="B627" s="5"/>
      <c r="C627" s="2">
        <f>IF(B627="","",IF(C627="",NOW(),C627))</f>
      </c>
    </row>
    <row r="628">
      <c r="A628" s="4">
        <f>IF(B628="","",ROW()-1)</f>
      </c>
      <c r="B628" s="5"/>
      <c r="C628" s="2">
        <f>IF(B628="","",IF(C628="",NOW(),C628))</f>
      </c>
    </row>
    <row r="629">
      <c r="A629" s="4">
        <f>IF(B629="","",ROW()-1)</f>
      </c>
      <c r="B629" s="5"/>
      <c r="C629" s="2">
        <f>IF(B629="","",IF(C629="",NOW(),C629))</f>
      </c>
    </row>
    <row r="630">
      <c r="A630" s="4">
        <f>IF(B630="","",ROW()-1)</f>
      </c>
      <c r="B630" s="5"/>
      <c r="C630" s="2">
        <f>IF(B630="","",IF(C630="",NOW(),C630))</f>
      </c>
    </row>
    <row r="631">
      <c r="A631" s="4">
        <f>IF(B631="","",ROW()-1)</f>
      </c>
      <c r="B631" s="5"/>
      <c r="C631" s="2">
        <f>IF(B631="","",IF(C631="",NOW(),C631))</f>
      </c>
    </row>
    <row r="632">
      <c r="A632" s="4">
        <f>IF(B632="","",ROW()-1)</f>
      </c>
      <c r="B632" s="5"/>
      <c r="C632" s="2">
        <f>IF(B632="","",IF(C632="",NOW(),C632))</f>
      </c>
    </row>
    <row r="633">
      <c r="A633" s="4">
        <f>IF(B633="","",ROW()-1)</f>
      </c>
      <c r="B633" s="5"/>
      <c r="C633" s="2">
        <f>IF(B633="","",IF(C633="",NOW(),C633))</f>
      </c>
    </row>
    <row r="634">
      <c r="A634" s="4">
        <f>IF(B634="","",ROW()-1)</f>
      </c>
      <c r="B634" s="5"/>
      <c r="C634" s="2">
        <f>IF(B634="","",IF(C634="",NOW(),C634))</f>
      </c>
    </row>
    <row r="635">
      <c r="A635" s="4">
        <f>IF(B635="","",ROW()-1)</f>
      </c>
      <c r="B635" s="5"/>
      <c r="C635" s="2">
        <f>IF(B635="","",IF(C635="",NOW(),C635))</f>
      </c>
    </row>
    <row r="636">
      <c r="A636" s="4">
        <f>IF(B636="","",ROW()-1)</f>
      </c>
      <c r="B636" s="5"/>
      <c r="C636" s="2">
        <f>IF(B636="","",IF(C636="",NOW(),C636))</f>
      </c>
    </row>
    <row r="637">
      <c r="A637" s="4">
        <f>IF(B637="","",ROW()-1)</f>
      </c>
      <c r="B637" s="5"/>
      <c r="C637" s="2">
        <f>IF(B637="","",IF(C637="",NOW(),C637))</f>
      </c>
    </row>
    <row r="638">
      <c r="A638" s="4">
        <f>IF(B638="","",ROW()-1)</f>
      </c>
      <c r="B638" s="5"/>
      <c r="C638" s="2">
        <f>IF(B638="","",IF(C638="",NOW(),C638))</f>
      </c>
    </row>
    <row r="639">
      <c r="A639" s="4">
        <f>IF(B639="","",ROW()-1)</f>
      </c>
      <c r="B639" s="5"/>
      <c r="C639" s="2">
        <f>IF(B639="","",IF(C639="",NOW(),C639))</f>
      </c>
    </row>
    <row r="640">
      <c r="A640" s="4">
        <f>IF(B640="","",ROW()-1)</f>
      </c>
      <c r="B640" s="5"/>
      <c r="C640" s="2">
        <f>IF(B640="","",IF(C640="",NOW(),C640))</f>
      </c>
    </row>
    <row r="641">
      <c r="A641" s="4">
        <f>IF(B641="","",ROW()-1)</f>
      </c>
      <c r="B641" s="5"/>
      <c r="C641" s="2">
        <f>IF(B641="","",IF(C641="",NOW(),C641))</f>
      </c>
    </row>
    <row r="642">
      <c r="A642" s="4">
        <f>IF(B642="","",ROW()-1)</f>
      </c>
      <c r="B642" s="5"/>
      <c r="C642" s="2">
        <f>IF(B642="","",IF(C642="",NOW(),C642))</f>
      </c>
    </row>
    <row r="643">
      <c r="A643" s="4">
        <f>IF(B643="","",ROW()-1)</f>
      </c>
      <c r="B643" s="5"/>
      <c r="C643" s="2">
        <f>IF(B643="","",IF(C643="",NOW(),C643))</f>
      </c>
    </row>
    <row r="644">
      <c r="A644" s="4">
        <f>IF(B644="","",ROW()-1)</f>
      </c>
      <c r="B644" s="5"/>
      <c r="C644" s="2">
        <f>IF(B644="","",IF(C644="",NOW(),C644))</f>
      </c>
    </row>
    <row r="645">
      <c r="A645" s="4">
        <f>IF(B645="","",ROW()-1)</f>
      </c>
      <c r="B645" s="5"/>
      <c r="C645" s="2">
        <f>IF(B645="","",IF(C645="",NOW(),C645))</f>
      </c>
    </row>
    <row r="646">
      <c r="A646" s="4">
        <f>IF(B646="","",ROW()-1)</f>
      </c>
      <c r="B646" s="5"/>
      <c r="C646" s="2">
        <f>IF(B646="","",IF(C646="",NOW(),C646))</f>
      </c>
    </row>
    <row r="647">
      <c r="A647" s="4">
        <f>IF(B647="","",ROW()-1)</f>
      </c>
      <c r="B647" s="5"/>
      <c r="C647" s="2">
        <f>IF(B647="","",IF(C647="",NOW(),C647))</f>
      </c>
    </row>
    <row r="648">
      <c r="A648" s="4">
        <f>IF(B648="","",ROW()-1)</f>
      </c>
      <c r="B648" s="5"/>
      <c r="C648" s="2">
        <f>IF(B648="","",IF(C648="",NOW(),C648))</f>
      </c>
    </row>
    <row r="649">
      <c r="A649" s="4">
        <f>IF(B649="","",ROW()-1)</f>
      </c>
      <c r="B649" s="5"/>
      <c r="C649" s="2">
        <f>IF(B649="","",IF(C649="",NOW(),C649))</f>
      </c>
    </row>
    <row r="650">
      <c r="A650" s="4">
        <f>IF(B650="","",ROW()-1)</f>
      </c>
      <c r="B650" s="5"/>
      <c r="C650" s="2">
        <f>IF(B650="","",IF(C650="",NOW(),C650))</f>
      </c>
    </row>
    <row r="651">
      <c r="A651" s="4">
        <f>IF(B651="","",ROW()-1)</f>
      </c>
      <c r="B651" s="5"/>
      <c r="C651" s="2">
        <f>IF(B651="","",IF(C651="",NOW(),C651))</f>
      </c>
    </row>
    <row r="652">
      <c r="A652" s="4">
        <f>IF(B652="","",ROW()-1)</f>
      </c>
      <c r="B652" s="5"/>
      <c r="C652" s="2">
        <f>IF(B652="","",IF(C652="",NOW(),C652))</f>
      </c>
    </row>
    <row r="653">
      <c r="A653" s="4">
        <f>IF(B653="","",ROW()-1)</f>
      </c>
      <c r="B653" s="5"/>
      <c r="C653" s="2">
        <f>IF(B653="","",IF(C653="",NOW(),C653))</f>
      </c>
    </row>
    <row r="654">
      <c r="A654" s="4">
        <f>IF(B654="","",ROW()-1)</f>
      </c>
      <c r="B654" s="5"/>
      <c r="C654" s="2">
        <f>IF(B654="","",IF(C654="",NOW(),C654))</f>
      </c>
    </row>
    <row r="655">
      <c r="A655" s="4">
        <f>IF(B655="","",ROW()-1)</f>
      </c>
      <c r="B655" s="5"/>
      <c r="C655" s="2">
        <f>IF(B655="","",IF(C655="",NOW(),C655))</f>
      </c>
    </row>
    <row r="656">
      <c r="A656" s="4">
        <f>IF(B656="","",ROW()-1)</f>
      </c>
      <c r="B656" s="5"/>
      <c r="C656" s="2">
        <f>IF(B656="","",IF(C656="",NOW(),C656))</f>
      </c>
    </row>
    <row r="657">
      <c r="A657" s="4">
        <f>IF(B657="","",ROW()-1)</f>
      </c>
      <c r="B657" s="5"/>
      <c r="C657" s="2">
        <f>IF(B657="","",IF(C657="",NOW(),C657))</f>
      </c>
    </row>
    <row r="658">
      <c r="A658" s="4">
        <f>IF(B658="","",ROW()-1)</f>
      </c>
      <c r="B658" s="5"/>
      <c r="C658" s="2">
        <f>IF(B658="","",IF(C658="",NOW(),C658))</f>
      </c>
    </row>
    <row r="659">
      <c r="A659" s="4">
        <f>IF(B659="","",ROW()-1)</f>
      </c>
      <c r="B659" s="5"/>
      <c r="C659" s="2">
        <f>IF(B659="","",IF(C659="",NOW(),C659))</f>
      </c>
    </row>
    <row r="660">
      <c r="A660" s="4">
        <f>IF(B660="","",ROW()-1)</f>
      </c>
      <c r="B660" s="5"/>
      <c r="C660" s="2">
        <f>IF(B660="","",IF(C660="",NOW(),C660))</f>
      </c>
    </row>
    <row r="661">
      <c r="A661" s="4">
        <f>IF(B661="","",ROW()-1)</f>
      </c>
      <c r="B661" s="5"/>
      <c r="C661" s="2">
        <f>IF(B661="","",IF(C661="",NOW(),C661))</f>
      </c>
    </row>
    <row r="662">
      <c r="A662" s="4">
        <f>IF(B662="","",ROW()-1)</f>
      </c>
      <c r="B662" s="5"/>
      <c r="C662" s="2">
        <f>IF(B662="","",IF(C662="",NOW(),C662))</f>
      </c>
    </row>
    <row r="663">
      <c r="A663" s="4">
        <f>IF(B663="","",ROW()-1)</f>
      </c>
      <c r="B663" s="5"/>
      <c r="C663" s="2">
        <f>IF(B663="","",IF(C663="",NOW(),C663))</f>
      </c>
    </row>
    <row r="664">
      <c r="A664" s="4">
        <f>IF(B664="","",ROW()-1)</f>
      </c>
      <c r="B664" s="5"/>
      <c r="C664" s="2">
        <f>IF(B664="","",IF(C664="",NOW(),C664))</f>
      </c>
    </row>
    <row r="665">
      <c r="A665" s="4">
        <f>IF(B665="","",ROW()-1)</f>
      </c>
      <c r="B665" s="5"/>
      <c r="C665" s="2">
        <f>IF(B665="","",IF(C665="",NOW(),C665))</f>
      </c>
    </row>
    <row r="666">
      <c r="A666" s="4">
        <f>IF(B666="","",ROW()-1)</f>
      </c>
      <c r="B666" s="5"/>
      <c r="C666" s="2">
        <f>IF(B666="","",IF(C666="",NOW(),C666))</f>
      </c>
    </row>
    <row r="667">
      <c r="A667" s="4">
        <f>IF(B667="","",ROW()-1)</f>
      </c>
      <c r="B667" s="5"/>
      <c r="C667" s="2">
        <f>IF(B667="","",IF(C667="",NOW(),C667))</f>
      </c>
    </row>
    <row r="668">
      <c r="A668" s="4">
        <f>IF(B668="","",ROW()-1)</f>
      </c>
      <c r="B668" s="5"/>
      <c r="C668" s="2">
        <f>IF(B668="","",IF(C668="",NOW(),C668))</f>
      </c>
    </row>
    <row r="669">
      <c r="A669" s="4">
        <f>IF(B669="","",ROW()-1)</f>
      </c>
      <c r="B669" s="5"/>
      <c r="C669" s="2">
        <f>IF(B669="","",IF(C669="",NOW(),C669))</f>
      </c>
    </row>
    <row r="670">
      <c r="A670" s="4">
        <f>IF(B670="","",ROW()-1)</f>
      </c>
      <c r="B670" s="5"/>
      <c r="C670" s="2">
        <f>IF(B670="","",IF(C670="",NOW(),C670))</f>
      </c>
    </row>
    <row r="671">
      <c r="A671" s="4">
        <f>IF(B671="","",ROW()-1)</f>
      </c>
      <c r="B671" s="5"/>
      <c r="C671" s="2">
        <f>IF(B671="","",IF(C671="",NOW(),C671))</f>
      </c>
    </row>
    <row r="672">
      <c r="A672" s="4">
        <f>IF(B672="","",ROW()-1)</f>
      </c>
      <c r="B672" s="5"/>
      <c r="C672" s="2">
        <f>IF(B672="","",IF(C672="",NOW(),C672))</f>
      </c>
    </row>
    <row r="673">
      <c r="A673" s="4">
        <f>IF(B673="","",ROW()-1)</f>
      </c>
      <c r="B673" s="5"/>
      <c r="C673" s="2">
        <f>IF(B673="","",IF(C673="",NOW(),C673))</f>
      </c>
    </row>
    <row r="674">
      <c r="A674" s="4">
        <f>IF(B674="","",ROW()-1)</f>
      </c>
      <c r="B674" s="5"/>
      <c r="C674" s="2">
        <f>IF(B674="","",IF(C674="",NOW(),C674))</f>
      </c>
    </row>
    <row r="675">
      <c r="A675" s="4">
        <f>IF(B675="","",ROW()-1)</f>
      </c>
      <c r="B675" s="5"/>
      <c r="C675" s="2">
        <f>IF(B675="","",IF(C675="",NOW(),C675))</f>
      </c>
    </row>
    <row r="676">
      <c r="A676" s="4">
        <f>IF(B676="","",ROW()-1)</f>
      </c>
      <c r="B676" s="5"/>
      <c r="C676" s="2">
        <f>IF(B676="","",IF(C676="",NOW(),C676))</f>
      </c>
    </row>
    <row r="677">
      <c r="A677" s="4">
        <f>IF(B677="","",ROW()-1)</f>
      </c>
      <c r="B677" s="5"/>
      <c r="C677" s="2">
        <f>IF(B677="","",IF(C677="",NOW(),C677))</f>
      </c>
    </row>
    <row r="678">
      <c r="A678" s="4">
        <f>IF(B678="","",ROW()-1)</f>
      </c>
      <c r="B678" s="5"/>
      <c r="C678" s="2">
        <f>IF(B678="","",IF(C678="",NOW(),C678))</f>
      </c>
    </row>
    <row r="679">
      <c r="A679" s="4">
        <f>IF(B679="","",ROW()-1)</f>
      </c>
      <c r="B679" s="5"/>
      <c r="C679" s="2">
        <f>IF(B679="","",IF(C679="",NOW(),C679))</f>
      </c>
    </row>
    <row r="680">
      <c r="A680" s="4">
        <f>IF(B680="","",ROW()-1)</f>
      </c>
      <c r="B680" s="5"/>
      <c r="C680" s="2">
        <f>IF(B680="","",IF(C680="",NOW(),C680))</f>
      </c>
    </row>
    <row r="681">
      <c r="A681" s="4">
        <f>IF(B681="","",ROW()-1)</f>
      </c>
      <c r="B681" s="5"/>
      <c r="C681" s="2">
        <f>IF(B681="","",IF(C681="",NOW(),C681))</f>
      </c>
    </row>
    <row r="682">
      <c r="A682" s="4">
        <f>IF(B682="","",ROW()-1)</f>
      </c>
      <c r="B682" s="5"/>
      <c r="C682" s="2">
        <f>IF(B682="","",IF(C682="",NOW(),C682))</f>
      </c>
    </row>
    <row r="683">
      <c r="A683" s="4">
        <f>IF(B683="","",ROW()-1)</f>
      </c>
      <c r="B683" s="5"/>
      <c r="C683" s="2">
        <f>IF(B683="","",IF(C683="",NOW(),C683))</f>
      </c>
    </row>
    <row r="684">
      <c r="A684" s="4">
        <f>IF(B684="","",ROW()-1)</f>
      </c>
      <c r="B684" s="5"/>
      <c r="C684" s="2">
        <f>IF(B684="","",IF(C684="",NOW(),C684))</f>
      </c>
    </row>
    <row r="685">
      <c r="A685" s="4">
        <f>IF(B685="","",ROW()-1)</f>
      </c>
      <c r="B685" s="5"/>
      <c r="C685" s="2">
        <f>IF(B685="","",IF(C685="",NOW(),C685))</f>
      </c>
    </row>
    <row r="686">
      <c r="A686" s="4">
        <f>IF(B686="","",ROW()-1)</f>
      </c>
      <c r="B686" s="5"/>
      <c r="C686" s="2">
        <f>IF(B686="","",IF(C686="",NOW(),C686))</f>
      </c>
    </row>
    <row r="687">
      <c r="A687" s="4">
        <f>IF(B687="","",ROW()-1)</f>
      </c>
      <c r="B687" s="5"/>
      <c r="C687" s="2">
        <f>IF(B687="","",IF(C687="",NOW(),C687))</f>
      </c>
    </row>
    <row r="688">
      <c r="A688" s="4">
        <f>IF(B688="","",ROW()-1)</f>
      </c>
      <c r="B688" s="5"/>
      <c r="C688" s="2">
        <f>IF(B688="","",IF(C688="",NOW(),C688))</f>
      </c>
    </row>
    <row r="689">
      <c r="A689" s="4">
        <f>IF(B689="","",ROW()-1)</f>
      </c>
      <c r="B689" s="5"/>
      <c r="C689" s="2">
        <f>IF(B689="","",IF(C689="",NOW(),C689))</f>
      </c>
    </row>
    <row r="690">
      <c r="A690" s="4">
        <f>IF(B690="","",ROW()-1)</f>
      </c>
      <c r="B690" s="5"/>
      <c r="C690" s="2">
        <f>IF(B690="","",IF(C690="",NOW(),C690))</f>
      </c>
    </row>
    <row r="691">
      <c r="A691" s="4">
        <f>IF(B691="","",ROW()-1)</f>
      </c>
      <c r="B691" s="5"/>
      <c r="C691" s="2">
        <f>IF(B691="","",IF(C691="",NOW(),C691))</f>
      </c>
    </row>
    <row r="692">
      <c r="A692" s="4">
        <f>IF(B692="","",ROW()-1)</f>
      </c>
      <c r="B692" s="5"/>
      <c r="C692" s="2">
        <f>IF(B692="","",IF(C692="",NOW(),C692))</f>
      </c>
    </row>
    <row r="693">
      <c r="A693" s="4">
        <f>IF(B693="","",ROW()-1)</f>
      </c>
      <c r="B693" s="5"/>
      <c r="C693" s="2">
        <f>IF(B693="","",IF(C693="",NOW(),C693))</f>
      </c>
    </row>
    <row r="694">
      <c r="A694" s="4">
        <f>IF(B694="","",ROW()-1)</f>
      </c>
      <c r="B694" s="5"/>
      <c r="C694" s="2">
        <f>IF(B694="","",IF(C694="",NOW(),C694))</f>
      </c>
    </row>
    <row r="695">
      <c r="A695" s="4">
        <f>IF(B695="","",ROW()-1)</f>
      </c>
      <c r="B695" s="5"/>
      <c r="C695" s="2">
        <f>IF(B695="","",IF(C695="",NOW(),C695))</f>
      </c>
    </row>
    <row r="696">
      <c r="A696" s="4">
        <f>IF(B696="","",ROW()-1)</f>
      </c>
      <c r="B696" s="5"/>
      <c r="C696" s="2">
        <f>IF(B696="","",IF(C696="",NOW(),C696))</f>
      </c>
    </row>
    <row r="697">
      <c r="A697" s="4">
        <f>IF(B697="","",ROW()-1)</f>
      </c>
      <c r="B697" s="5"/>
      <c r="C697" s="2">
        <f>IF(B697="","",IF(C697="",NOW(),C697))</f>
      </c>
    </row>
    <row r="698">
      <c r="A698" s="4">
        <f>IF(B698="","",ROW()-1)</f>
      </c>
      <c r="B698" s="5"/>
      <c r="C698" s="2">
        <f>IF(B698="","",IF(C698="",NOW(),C698))</f>
      </c>
    </row>
    <row r="699">
      <c r="A699" s="4">
        <f>IF(B699="","",ROW()-1)</f>
      </c>
      <c r="B699" s="5"/>
      <c r="C699" s="2">
        <f>IF(B699="","",IF(C699="",NOW(),C699))</f>
      </c>
    </row>
    <row r="700">
      <c r="A700" s="4">
        <f>IF(B700="","",ROW()-1)</f>
      </c>
      <c r="B700" s="5"/>
      <c r="C700" s="2">
        <f>IF(B700="","",IF(C700="",NOW(),C700))</f>
      </c>
    </row>
    <row r="701">
      <c r="A701" s="4">
        <f>IF(B701="","",ROW()-1)</f>
      </c>
      <c r="B701" s="5"/>
      <c r="C701" s="2">
        <f>IF(B701="","",IF(C701="",NOW(),C701))</f>
      </c>
    </row>
    <row r="702">
      <c r="A702" s="4">
        <f>IF(B702="","",ROW()-1)</f>
      </c>
      <c r="B702" s="5"/>
      <c r="C702" s="2">
        <f>IF(B702="","",IF(C702="",NOW(),C702))</f>
      </c>
    </row>
    <row r="703">
      <c r="A703" s="4">
        <f>IF(B703="","",ROW()-1)</f>
      </c>
      <c r="B703" s="5"/>
      <c r="C703" s="2">
        <f>IF(B703="","",IF(C703="",NOW(),C703))</f>
      </c>
    </row>
    <row r="704">
      <c r="A704" s="4">
        <f>IF(B704="","",ROW()-1)</f>
      </c>
      <c r="B704" s="5"/>
      <c r="C704" s="2">
        <f>IF(B704="","",IF(C704="",NOW(),C704))</f>
      </c>
    </row>
    <row r="705">
      <c r="A705" s="4">
        <f>IF(B705="","",ROW()-1)</f>
      </c>
      <c r="B705" s="5"/>
      <c r="C705" s="2">
        <f>IF(B705="","",IF(C705="",NOW(),C705))</f>
      </c>
    </row>
    <row r="706">
      <c r="A706" s="4">
        <f>IF(B706="","",ROW()-1)</f>
      </c>
      <c r="B706" s="5"/>
      <c r="C706" s="2">
        <f>IF(B706="","",IF(C706="",NOW(),C706))</f>
      </c>
    </row>
    <row r="707">
      <c r="A707" s="4">
        <f>IF(B707="","",ROW()-1)</f>
      </c>
      <c r="B707" s="5"/>
      <c r="C707" s="2">
        <f>IF(B707="","",IF(C707="",NOW(),C707))</f>
      </c>
    </row>
    <row r="708">
      <c r="A708" s="4">
        <f>IF(B708="","",ROW()-1)</f>
      </c>
      <c r="B708" s="5"/>
      <c r="C708" s="2">
        <f>IF(B708="","",IF(C708="",NOW(),C708))</f>
      </c>
    </row>
    <row r="709">
      <c r="A709" s="4">
        <f>IF(B709="","",ROW()-1)</f>
      </c>
      <c r="B709" s="5"/>
      <c r="C709" s="2">
        <f>IF(B709="","",IF(C709="",NOW(),C709))</f>
      </c>
    </row>
    <row r="710">
      <c r="A710" s="4">
        <f>IF(B710="","",ROW()-1)</f>
      </c>
      <c r="B710" s="5"/>
      <c r="C710" s="2">
        <f>IF(B710="","",IF(C710="",NOW(),C710))</f>
      </c>
    </row>
    <row r="711">
      <c r="A711" s="4">
        <f>IF(B711="","",ROW()-1)</f>
      </c>
      <c r="B711" s="5"/>
      <c r="C711" s="2">
        <f>IF(B711="","",IF(C711="",NOW(),C711))</f>
      </c>
    </row>
    <row r="712">
      <c r="A712" s="4">
        <f>IF(B712="","",ROW()-1)</f>
      </c>
      <c r="B712" s="5"/>
      <c r="C712" s="2">
        <f>IF(B712="","",IF(C712="",NOW(),C712))</f>
      </c>
    </row>
    <row r="713">
      <c r="A713" s="4">
        <f>IF(B713="","",ROW()-1)</f>
      </c>
      <c r="B713" s="5"/>
      <c r="C713" s="2">
        <f>IF(B713="","",IF(C713="",NOW(),C713))</f>
      </c>
    </row>
    <row r="714">
      <c r="A714" s="4">
        <f>IF(B714="","",ROW()-1)</f>
      </c>
      <c r="B714" s="5"/>
      <c r="C714" s="2">
        <f>IF(B714="","",IF(C714="",NOW(),C714))</f>
      </c>
    </row>
    <row r="715">
      <c r="A715" s="4">
        <f>IF(B715="","",ROW()-1)</f>
      </c>
      <c r="B715" s="5"/>
      <c r="C715" s="2">
        <f>IF(B715="","",IF(C715="",NOW(),C715))</f>
      </c>
    </row>
    <row r="716">
      <c r="A716" s="4">
        <f>IF(B716="","",ROW()-1)</f>
      </c>
      <c r="B716" s="5"/>
      <c r="C716" s="2">
        <f>IF(B716="","",IF(C716="",NOW(),C716))</f>
      </c>
    </row>
    <row r="717">
      <c r="A717" s="4">
        <f>IF(B717="","",ROW()-1)</f>
      </c>
      <c r="B717" s="5"/>
      <c r="C717" s="2">
        <f>IF(B717="","",IF(C717="",NOW(),C717))</f>
      </c>
    </row>
    <row r="718">
      <c r="A718" s="4">
        <f>IF(B718="","",ROW()-1)</f>
      </c>
      <c r="B718" s="5"/>
      <c r="C718" s="2">
        <f>IF(B718="","",IF(C718="",NOW(),C718))</f>
      </c>
    </row>
    <row r="719">
      <c r="A719" s="4">
        <f>IF(B719="","",ROW()-1)</f>
      </c>
      <c r="B719" s="5"/>
      <c r="C719" s="2">
        <f>IF(B719="","",IF(C719="",NOW(),C719))</f>
      </c>
    </row>
    <row r="720">
      <c r="A720" s="4">
        <f>IF(B720="","",ROW()-1)</f>
      </c>
      <c r="B720" s="5"/>
      <c r="C720" s="2">
        <f>IF(B720="","",IF(C720="",NOW(),C720))</f>
      </c>
    </row>
    <row r="721">
      <c r="A721" s="4">
        <f>IF(B721="","",ROW()-1)</f>
      </c>
      <c r="B721" s="5"/>
      <c r="C721" s="2">
        <f>IF(B721="","",IF(C721="",NOW(),C721))</f>
      </c>
    </row>
    <row r="722">
      <c r="A722" s="4">
        <f>IF(B722="","",ROW()-1)</f>
      </c>
      <c r="B722" s="5"/>
      <c r="C722" s="2">
        <f>IF(B722="","",IF(C722="",NOW(),C722))</f>
      </c>
    </row>
    <row r="723">
      <c r="A723" s="4">
        <f>IF(B723="","",ROW()-1)</f>
      </c>
      <c r="B723" s="5"/>
      <c r="C723" s="2">
        <f>IF(B723="","",IF(C723="",NOW(),C723))</f>
      </c>
    </row>
    <row r="724">
      <c r="A724" s="4">
        <f>IF(B724="","",ROW()-1)</f>
      </c>
      <c r="B724" s="5"/>
      <c r="C724" s="2">
        <f>IF(B724="","",IF(C724="",NOW(),C724))</f>
      </c>
    </row>
    <row r="725">
      <c r="A725" s="4">
        <f>IF(B725="","",ROW()-1)</f>
      </c>
      <c r="B725" s="5"/>
      <c r="C725" s="2">
        <f>IF(B725="","",IF(C725="",NOW(),C725))</f>
      </c>
    </row>
    <row r="726">
      <c r="A726" s="4">
        <f>IF(B726="","",ROW()-1)</f>
      </c>
      <c r="B726" s="5"/>
      <c r="C726" s="2">
        <f>IF(B726="","",IF(C726="",NOW(),C726))</f>
      </c>
    </row>
    <row r="727">
      <c r="A727" s="4">
        <f>IF(B727="","",ROW()-1)</f>
      </c>
      <c r="B727" s="5"/>
      <c r="C727" s="2">
        <f>IF(B727="","",IF(C727="",NOW(),C727))</f>
      </c>
    </row>
    <row r="728">
      <c r="A728" s="4">
        <f>IF(B728="","",ROW()-1)</f>
      </c>
      <c r="B728" s="5"/>
      <c r="C728" s="2">
        <f>IF(B728="","",IF(C728="",NOW(),C728))</f>
      </c>
    </row>
    <row r="729">
      <c r="A729" s="4">
        <f>IF(B729="","",ROW()-1)</f>
      </c>
      <c r="B729" s="5"/>
      <c r="C729" s="2">
        <f>IF(B729="","",IF(C729="",NOW(),C729))</f>
      </c>
    </row>
    <row r="730">
      <c r="A730" s="4">
        <f>IF(B730="","",ROW()-1)</f>
      </c>
      <c r="B730" s="5"/>
      <c r="C730" s="2">
        <f>IF(B730="","",IF(C730="",NOW(),C730))</f>
      </c>
    </row>
    <row r="731">
      <c r="A731" s="4">
        <f>IF(B731="","",ROW()-1)</f>
      </c>
      <c r="B731" s="5"/>
      <c r="C731" s="2">
        <f>IF(B731="","",IF(C731="",NOW(),C731))</f>
      </c>
    </row>
    <row r="732">
      <c r="A732" s="4">
        <f>IF(B732="","",ROW()-1)</f>
      </c>
      <c r="B732" s="5"/>
      <c r="C732" s="2">
        <f>IF(B732="","",IF(C732="",NOW(),C732))</f>
      </c>
    </row>
    <row r="733">
      <c r="A733" s="4">
        <f>IF(B733="","",ROW()-1)</f>
      </c>
      <c r="B733" s="5"/>
      <c r="C733" s="2">
        <f>IF(B733="","",IF(C733="",NOW(),C733))</f>
      </c>
    </row>
    <row r="734">
      <c r="A734" s="4">
        <f>IF(B734="","",ROW()-1)</f>
      </c>
      <c r="B734" s="5"/>
      <c r="C734" s="2">
        <f>IF(B734="","",IF(C734="",NOW(),C734))</f>
      </c>
    </row>
    <row r="735">
      <c r="A735" s="4">
        <f>IF(B735="","",ROW()-1)</f>
      </c>
      <c r="B735" s="5"/>
      <c r="C735" s="2">
        <f>IF(B735="","",IF(C735="",NOW(),C735))</f>
      </c>
    </row>
    <row r="736">
      <c r="A736" s="4">
        <f>IF(B736="","",ROW()-1)</f>
      </c>
      <c r="B736" s="5"/>
      <c r="C736" s="2">
        <f>IF(B736="","",IF(C736="",NOW(),C736))</f>
      </c>
    </row>
    <row r="737">
      <c r="A737" s="4">
        <f>IF(B737="","",ROW()-1)</f>
      </c>
      <c r="B737" s="5"/>
      <c r="C737" s="2">
        <f>IF(B737="","",IF(C737="",NOW(),C737))</f>
      </c>
    </row>
    <row r="738">
      <c r="A738" s="4">
        <f>IF(B738="","",ROW()-1)</f>
      </c>
      <c r="B738" s="5"/>
      <c r="C738" s="2">
        <f>IF(B738="","",IF(C738="",NOW(),C738))</f>
      </c>
    </row>
    <row r="739">
      <c r="A739" s="4">
        <f>IF(B739="","",ROW()-1)</f>
      </c>
      <c r="B739" s="5"/>
      <c r="C739" s="2">
        <f>IF(B739="","",IF(C739="",NOW(),C739))</f>
      </c>
    </row>
    <row r="740">
      <c r="A740" s="4">
        <f>IF(B740="","",ROW()-1)</f>
      </c>
      <c r="B740" s="5"/>
      <c r="C740" s="2">
        <f>IF(B740="","",IF(C740="",NOW(),C740))</f>
      </c>
    </row>
    <row r="741">
      <c r="A741" s="4">
        <f>IF(B741="","",ROW()-1)</f>
      </c>
      <c r="B741" s="5"/>
      <c r="C741" s="2">
        <f>IF(B741="","",IF(C741="",NOW(),C741))</f>
      </c>
    </row>
    <row r="742">
      <c r="A742" s="4">
        <f>IF(B742="","",ROW()-1)</f>
      </c>
      <c r="B742" s="5"/>
      <c r="C742" s="2">
        <f>IF(B742="","",IF(C742="",NOW(),C742))</f>
      </c>
    </row>
    <row r="743">
      <c r="A743" s="4">
        <f>IF(B743="","",ROW()-1)</f>
      </c>
      <c r="B743" s="5"/>
      <c r="C743" s="2">
        <f>IF(B743="","",IF(C743="",NOW(),C743))</f>
      </c>
    </row>
    <row r="744">
      <c r="A744" s="4">
        <f>IF(B744="","",ROW()-1)</f>
      </c>
      <c r="B744" s="5"/>
      <c r="C744" s="2">
        <f>IF(B744="","",IF(C744="",NOW(),C744))</f>
      </c>
    </row>
    <row r="745">
      <c r="A745" s="4">
        <f>IF(B745="","",ROW()-1)</f>
      </c>
      <c r="B745" s="5"/>
      <c r="C745" s="2">
        <f>IF(B745="","",IF(C745="",NOW(),C745))</f>
      </c>
    </row>
    <row r="746">
      <c r="A746" s="4">
        <f>IF(B746="","",ROW()-1)</f>
      </c>
      <c r="B746" s="5"/>
      <c r="C746" s="2">
        <f>IF(B746="","",IF(C746="",NOW(),C746))</f>
      </c>
    </row>
    <row r="747">
      <c r="A747" s="4">
        <f>IF(B747="","",ROW()-1)</f>
      </c>
      <c r="B747" s="5"/>
      <c r="C747" s="2">
        <f>IF(B747="","",IF(C747="",NOW(),C747))</f>
      </c>
    </row>
    <row r="748">
      <c r="A748" s="4">
        <f>IF(B748="","",ROW()-1)</f>
      </c>
      <c r="B748" s="5"/>
      <c r="C748" s="2">
        <f>IF(B748="","",IF(C748="",NOW(),C748))</f>
      </c>
    </row>
    <row r="749">
      <c r="A749" s="4">
        <f>IF(B749="","",ROW()-1)</f>
      </c>
      <c r="B749" s="5"/>
      <c r="C749" s="2">
        <f>IF(B749="","",IF(C749="",NOW(),C749))</f>
      </c>
    </row>
    <row r="750">
      <c r="A750" s="4">
        <f>IF(B750="","",ROW()-1)</f>
      </c>
      <c r="B750" s="5"/>
      <c r="C750" s="2">
        <f>IF(B750="","",IF(C750="",NOW(),C750))</f>
      </c>
    </row>
    <row r="751">
      <c r="A751" s="4">
        <f>IF(B751="","",ROW()-1)</f>
      </c>
      <c r="B751" s="5"/>
      <c r="C751" s="2">
        <f>IF(B751="","",IF(C751="",NOW(),C751))</f>
      </c>
    </row>
    <row r="752">
      <c r="A752" s="4">
        <f>IF(B752="","",ROW()-1)</f>
      </c>
      <c r="B752" s="5"/>
      <c r="C752" s="2">
        <f>IF(B752="","",IF(C752="",NOW(),C752))</f>
      </c>
    </row>
    <row r="753">
      <c r="A753" s="4">
        <f>IF(B753="","",ROW()-1)</f>
      </c>
      <c r="B753" s="5"/>
      <c r="C753" s="2">
        <f>IF(B753="","",IF(C753="",NOW(),C753))</f>
      </c>
    </row>
    <row r="754">
      <c r="A754" s="4">
        <f>IF(B754="","",ROW()-1)</f>
      </c>
      <c r="B754" s="5"/>
      <c r="C754" s="2">
        <f>IF(B754="","",IF(C754="",NOW(),C754))</f>
      </c>
    </row>
    <row r="755">
      <c r="A755" s="4">
        <f>IF(B755="","",ROW()-1)</f>
      </c>
      <c r="B755" s="5"/>
      <c r="C755" s="2">
        <f>IF(B755="","",IF(C755="",NOW(),C755))</f>
      </c>
    </row>
    <row r="756">
      <c r="A756" s="4">
        <f>IF(B756="","",ROW()-1)</f>
      </c>
      <c r="B756" s="5"/>
      <c r="C756" s="2">
        <f>IF(B756="","",IF(C756="",NOW(),C756))</f>
      </c>
    </row>
    <row r="757">
      <c r="A757" s="4">
        <f>IF(B757="","",ROW()-1)</f>
      </c>
      <c r="B757" s="5"/>
      <c r="C757" s="2">
        <f>IF(B757="","",IF(C757="",NOW(),C757))</f>
      </c>
    </row>
    <row r="758">
      <c r="A758" s="4">
        <f>IF(B758="","",ROW()-1)</f>
      </c>
      <c r="B758" s="5"/>
      <c r="C758" s="2">
        <f>IF(B758="","",IF(C758="",NOW(),C758))</f>
      </c>
    </row>
    <row r="759">
      <c r="A759" s="4">
        <f>IF(B759="","",ROW()-1)</f>
      </c>
      <c r="B759" s="5"/>
      <c r="C759" s="2">
        <f>IF(B759="","",IF(C759="",NOW(),C759))</f>
      </c>
    </row>
    <row r="760">
      <c r="A760" s="4">
        <f>IF(B760="","",ROW()-1)</f>
      </c>
      <c r="B760" s="5"/>
      <c r="C760" s="2">
        <f>IF(B760="","",IF(C760="",NOW(),C760))</f>
      </c>
    </row>
    <row r="761">
      <c r="A761" s="4">
        <f>IF(B761="","",ROW()-1)</f>
      </c>
      <c r="B761" s="5"/>
      <c r="C761" s="2">
        <f>IF(B761="","",IF(C761="",NOW(),C761))</f>
      </c>
    </row>
    <row r="762">
      <c r="A762" s="4">
        <f>IF(B762="","",ROW()-1)</f>
      </c>
      <c r="B762" s="5"/>
      <c r="C762" s="2">
        <f>IF(B762="","",IF(C762="",NOW(),C762))</f>
      </c>
    </row>
    <row r="763">
      <c r="A763" s="4">
        <f>IF(B763="","",ROW()-1)</f>
      </c>
      <c r="B763" s="5"/>
      <c r="C763" s="2">
        <f>IF(B763="","",IF(C763="",NOW(),C763))</f>
      </c>
    </row>
    <row r="764">
      <c r="A764" s="4">
        <f>IF(B764="","",ROW()-1)</f>
      </c>
      <c r="B764" s="5"/>
      <c r="C764" s="2">
        <f>IF(B764="","",IF(C764="",NOW(),C764))</f>
      </c>
    </row>
    <row r="765">
      <c r="A765" s="4">
        <f>IF(B765="","",ROW()-1)</f>
      </c>
      <c r="B765" s="5"/>
      <c r="C765" s="2">
        <f>IF(B765="","",IF(C765="",NOW(),C765))</f>
      </c>
    </row>
    <row r="766">
      <c r="A766" s="4">
        <f>IF(B766="","",ROW()-1)</f>
      </c>
      <c r="B766" s="5"/>
      <c r="C766" s="2">
        <f>IF(B766="","",IF(C766="",NOW(),C766))</f>
      </c>
    </row>
    <row r="767">
      <c r="A767" s="4">
        <f>IF(B767="","",ROW()-1)</f>
      </c>
      <c r="B767" s="5"/>
      <c r="C767" s="2">
        <f>IF(B767="","",IF(C767="",NOW(),C767))</f>
      </c>
    </row>
    <row r="768">
      <c r="A768" s="4">
        <f>IF(B768="","",ROW()-1)</f>
      </c>
      <c r="B768" s="5"/>
      <c r="C768" s="2">
        <f>IF(B768="","",IF(C768="",NOW(),C768))</f>
      </c>
    </row>
    <row r="769">
      <c r="A769" s="4">
        <f>IF(B769="","",ROW()-1)</f>
      </c>
      <c r="B769" s="5"/>
      <c r="C769" s="2">
        <f>IF(B769="","",IF(C769="",NOW(),C769))</f>
      </c>
    </row>
    <row r="770">
      <c r="A770" s="4">
        <f>IF(B770="","",ROW()-1)</f>
      </c>
      <c r="B770" s="5"/>
      <c r="C770" s="2">
        <f>IF(B770="","",IF(C770="",NOW(),C770))</f>
      </c>
    </row>
    <row r="771">
      <c r="A771" s="4">
        <f>IF(B771="","",ROW()-1)</f>
      </c>
      <c r="B771" s="5"/>
      <c r="C771" s="2">
        <f>IF(B771="","",IF(C771="",NOW(),C771))</f>
      </c>
    </row>
    <row r="772">
      <c r="A772" s="4">
        <f>IF(B772="","",ROW()-1)</f>
      </c>
      <c r="B772" s="5"/>
      <c r="C772" s="2">
        <f>IF(B772="","",IF(C772="",NOW(),C772))</f>
      </c>
    </row>
    <row r="773">
      <c r="A773" s="4">
        <f>IF(B773="","",ROW()-1)</f>
      </c>
      <c r="B773" s="5"/>
      <c r="C773" s="2">
        <f>IF(B773="","",IF(C773="",NOW(),C773))</f>
      </c>
    </row>
    <row r="774">
      <c r="A774" s="4">
        <f>IF(B774="","",ROW()-1)</f>
      </c>
      <c r="B774" s="5"/>
      <c r="C774" s="2">
        <f>IF(B774="","",IF(C774="",NOW(),C774))</f>
      </c>
    </row>
    <row r="775">
      <c r="A775" s="4">
        <f>IF(B775="","",ROW()-1)</f>
      </c>
      <c r="B775" s="5"/>
      <c r="C775" s="2">
        <f>IF(B775="","",IF(C775="",NOW(),C775))</f>
      </c>
    </row>
    <row r="776">
      <c r="A776" s="4">
        <f>IF(B776="","",ROW()-1)</f>
      </c>
      <c r="B776" s="5"/>
      <c r="C776" s="2">
        <f>IF(B776="","",IF(C776="",NOW(),C776))</f>
      </c>
    </row>
    <row r="777">
      <c r="A777" s="4">
        <f>IF(B777="","",ROW()-1)</f>
      </c>
      <c r="B777" s="5"/>
      <c r="C777" s="2">
        <f>IF(B777="","",IF(C777="",NOW(),C777))</f>
      </c>
    </row>
    <row r="778">
      <c r="A778" s="4">
        <f>IF(B778="","",ROW()-1)</f>
      </c>
      <c r="B778" s="5"/>
      <c r="C778" s="2">
        <f>IF(B778="","",IF(C778="",NOW(),C778))</f>
      </c>
    </row>
    <row r="779">
      <c r="A779" s="4">
        <f>IF(B779="","",ROW()-1)</f>
      </c>
      <c r="B779" s="5"/>
      <c r="C779" s="2">
        <f>IF(B779="","",IF(C779="",NOW(),C779))</f>
      </c>
    </row>
    <row r="780">
      <c r="A780" s="4">
        <f>IF(B780="","",ROW()-1)</f>
      </c>
      <c r="B780" s="5"/>
      <c r="C780" s="2">
        <f>IF(B780="","",IF(C780="",NOW(),C780))</f>
      </c>
    </row>
    <row r="781">
      <c r="A781" s="4">
        <f>IF(B781="","",ROW()-1)</f>
      </c>
      <c r="B781" s="5"/>
      <c r="C781" s="2">
        <f>IF(B781="","",IF(C781="",NOW(),C781))</f>
      </c>
    </row>
    <row r="782">
      <c r="A782" s="4">
        <f>IF(B782="","",ROW()-1)</f>
      </c>
      <c r="B782" s="5"/>
      <c r="C782" s="2">
        <f>IF(B782="","",IF(C782="",NOW(),C782))</f>
      </c>
    </row>
    <row r="783">
      <c r="A783" s="4">
        <f>IF(B783="","",ROW()-1)</f>
      </c>
      <c r="B783" s="5"/>
      <c r="C783" s="2">
        <f>IF(B783="","",IF(C783="",NOW(),C783))</f>
      </c>
    </row>
    <row r="784">
      <c r="A784" s="4">
        <f>IF(B784="","",ROW()-1)</f>
      </c>
      <c r="B784" s="5"/>
      <c r="C784" s="2">
        <f>IF(B784="","",IF(C784="",NOW(),C784))</f>
      </c>
    </row>
    <row r="785">
      <c r="A785" s="4">
        <f>IF(B785="","",ROW()-1)</f>
      </c>
      <c r="B785" s="5"/>
      <c r="C785" s="2">
        <f>IF(B785="","",IF(C785="",NOW(),C785))</f>
      </c>
    </row>
    <row r="786">
      <c r="A786" s="4">
        <f>IF(B786="","",ROW()-1)</f>
      </c>
      <c r="B786" s="5"/>
      <c r="C786" s="2">
        <f>IF(B786="","",IF(C786="",NOW(),C786))</f>
      </c>
    </row>
    <row r="787">
      <c r="A787" s="4">
        <f>IF(B787="","",ROW()-1)</f>
      </c>
      <c r="B787" s="5"/>
      <c r="C787" s="2">
        <f>IF(B787="","",IF(C787="",NOW(),C787))</f>
      </c>
    </row>
    <row r="788">
      <c r="A788" s="4">
        <f>IF(B788="","",ROW()-1)</f>
      </c>
      <c r="B788" s="5"/>
      <c r="C788" s="2">
        <f>IF(B788="","",IF(C788="",NOW(),C788))</f>
      </c>
    </row>
    <row r="789">
      <c r="A789" s="4">
        <f>IF(B789="","",ROW()-1)</f>
      </c>
      <c r="B789" s="5"/>
      <c r="C789" s="2">
        <f>IF(B789="","",IF(C789="",NOW(),C789))</f>
      </c>
    </row>
    <row r="790">
      <c r="A790" s="4">
        <f>IF(B790="","",ROW()-1)</f>
      </c>
      <c r="B790" s="5"/>
      <c r="C790" s="2">
        <f>IF(B790="","",IF(C790="",NOW(),C790))</f>
      </c>
    </row>
    <row r="791">
      <c r="A791" s="4">
        <f>IF(B791="","",ROW()-1)</f>
      </c>
      <c r="B791" s="5"/>
      <c r="C791" s="2">
        <f>IF(B791="","",IF(C791="",NOW(),C791))</f>
      </c>
    </row>
    <row r="792">
      <c r="A792" s="4">
        <f>IF(B792="","",ROW()-1)</f>
      </c>
      <c r="B792" s="5"/>
      <c r="C792" s="2">
        <f>IF(B792="","",IF(C792="",NOW(),C792))</f>
      </c>
    </row>
    <row r="793">
      <c r="A793" s="4">
        <f>IF(B793="","",ROW()-1)</f>
      </c>
      <c r="B793" s="5"/>
      <c r="C793" s="2">
        <f>IF(B793="","",IF(C793="",NOW(),C793))</f>
      </c>
    </row>
    <row r="794">
      <c r="A794" s="4">
        <f>IF(B794="","",ROW()-1)</f>
      </c>
      <c r="B794" s="5"/>
      <c r="C794" s="2">
        <f>IF(B794="","",IF(C794="",NOW(),C794))</f>
      </c>
    </row>
    <row r="795">
      <c r="A795" s="4">
        <f>IF(B795="","",ROW()-1)</f>
      </c>
      <c r="B795" s="5"/>
      <c r="C795" s="2">
        <f>IF(B795="","",IF(C795="",NOW(),C795))</f>
      </c>
    </row>
    <row r="796">
      <c r="A796" s="4">
        <f>IF(B796="","",ROW()-1)</f>
      </c>
      <c r="B796" s="5"/>
      <c r="C796" s="2">
        <f>IF(B796="","",IF(C796="",NOW(),C796))</f>
      </c>
    </row>
    <row r="797">
      <c r="A797" s="4">
        <f>IF(B797="","",ROW()-1)</f>
      </c>
      <c r="B797" s="5"/>
      <c r="C797" s="2">
        <f>IF(B797="","",IF(C797="",NOW(),C797))</f>
      </c>
    </row>
    <row r="798">
      <c r="A798" s="4">
        <f>IF(B798="","",ROW()-1)</f>
      </c>
      <c r="B798" s="5"/>
      <c r="C798" s="2">
        <f>IF(B798="","",IF(C798="",NOW(),C798))</f>
      </c>
    </row>
    <row r="799">
      <c r="A799" s="4">
        <f>IF(B799="","",ROW()-1)</f>
      </c>
      <c r="B799" s="5"/>
      <c r="C799" s="2">
        <f>IF(B799="","",IF(C799="",NOW(),C799))</f>
      </c>
    </row>
    <row r="800">
      <c r="A800" s="4">
        <f>IF(B800="","",ROW()-1)</f>
      </c>
      <c r="B800" s="5"/>
      <c r="C800" s="2">
        <f>IF(B800="","",IF(C800="",NOW(),C800))</f>
      </c>
    </row>
    <row r="801">
      <c r="A801" s="4">
        <f>IF(B801="","",ROW()-1)</f>
      </c>
      <c r="B801" s="5"/>
      <c r="C801" s="2">
        <f>IF(B801="","",IF(C801="",NOW(),C801))</f>
      </c>
    </row>
    <row r="802">
      <c r="A802" s="4">
        <f>IF(B802="","",ROW()-1)</f>
      </c>
      <c r="B802" s="5"/>
      <c r="C802" s="2">
        <f>IF(B802="","",IF(C802="",NOW(),C802))</f>
      </c>
    </row>
    <row r="803">
      <c r="A803" s="4">
        <f>IF(B803="","",ROW()-1)</f>
      </c>
      <c r="B803" s="5"/>
      <c r="C803" s="2">
        <f>IF(B803="","",IF(C803="",NOW(),C803))</f>
      </c>
    </row>
    <row r="804">
      <c r="A804" s="4">
        <f>IF(B804="","",ROW()-1)</f>
      </c>
      <c r="B804" s="5"/>
      <c r="C804" s="2">
        <f>IF(B804="","",IF(C804="",NOW(),C804))</f>
      </c>
    </row>
    <row r="805">
      <c r="A805" s="4">
        <f>IF(B805="","",ROW()-1)</f>
      </c>
      <c r="B805" s="5"/>
      <c r="C805" s="2">
        <f>IF(B805="","",IF(C805="",NOW(),C805))</f>
      </c>
    </row>
    <row r="806">
      <c r="A806" s="4">
        <f>IF(B806="","",ROW()-1)</f>
      </c>
      <c r="B806" s="5"/>
      <c r="C806" s="2">
        <f>IF(B806="","",IF(C806="",NOW(),C806))</f>
      </c>
    </row>
    <row r="807">
      <c r="A807" s="4">
        <f>IF(B807="","",ROW()-1)</f>
      </c>
      <c r="B807" s="5"/>
      <c r="C807" s="2">
        <f>IF(B807="","",IF(C807="",NOW(),C807))</f>
      </c>
    </row>
    <row r="808">
      <c r="A808" s="4">
        <f>IF(B808="","",ROW()-1)</f>
      </c>
      <c r="B808" s="5"/>
      <c r="C808" s="2">
        <f>IF(B808="","",IF(C808="",NOW(),C808))</f>
      </c>
    </row>
    <row r="809">
      <c r="A809" s="4">
        <f>IF(B809="","",ROW()-1)</f>
      </c>
      <c r="B809" s="5"/>
      <c r="C809" s="2">
        <f>IF(B809="","",IF(C809="",NOW(),C809))</f>
      </c>
    </row>
    <row r="810">
      <c r="A810" s="4">
        <f>IF(B810="","",ROW()-1)</f>
      </c>
      <c r="B810" s="5"/>
      <c r="C810" s="2">
        <f>IF(B810="","",IF(C810="",NOW(),C810))</f>
      </c>
    </row>
    <row r="811">
      <c r="A811" s="4">
        <f>IF(B811="","",ROW()-1)</f>
      </c>
      <c r="B811" s="5"/>
      <c r="C811" s="2">
        <f>IF(B811="","",IF(C811="",NOW(),C811))</f>
      </c>
    </row>
    <row r="812">
      <c r="A812" s="4">
        <f>IF(B812="","",ROW()-1)</f>
      </c>
      <c r="B812" s="5"/>
      <c r="C812" s="2">
        <f>IF(B812="","",IF(C812="",NOW(),C812))</f>
      </c>
    </row>
    <row r="813">
      <c r="A813" s="4">
        <f>IF(B813="","",ROW()-1)</f>
      </c>
      <c r="B813" s="5"/>
      <c r="C813" s="2">
        <f>IF(B813="","",IF(C813="",NOW(),C813))</f>
      </c>
    </row>
    <row r="814">
      <c r="A814" s="4">
        <f>IF(B814="","",ROW()-1)</f>
      </c>
      <c r="B814" s="5"/>
      <c r="C814" s="2">
        <f>IF(B814="","",IF(C814="",NOW(),C814))</f>
      </c>
    </row>
    <row r="815">
      <c r="A815" s="4">
        <f>IF(B815="","",ROW()-1)</f>
      </c>
      <c r="B815" s="5"/>
      <c r="C815" s="2">
        <f>IF(B815="","",IF(C815="",NOW(),C815))</f>
      </c>
    </row>
    <row r="816">
      <c r="A816" s="4">
        <f>IF(B816="","",ROW()-1)</f>
      </c>
      <c r="B816" s="5"/>
      <c r="C816" s="2">
        <f>IF(B816="","",IF(C816="",NOW(),C816))</f>
      </c>
    </row>
    <row r="817">
      <c r="A817" s="4">
        <f>IF(B817="","",ROW()-1)</f>
      </c>
      <c r="B817" s="5"/>
      <c r="C817" s="2">
        <f>IF(B817="","",IF(C817="",NOW(),C817))</f>
      </c>
    </row>
    <row r="818">
      <c r="A818" s="4">
        <f>IF(B818="","",ROW()-1)</f>
      </c>
      <c r="B818" s="5"/>
      <c r="C818" s="2">
        <f>IF(B818="","",IF(C818="",NOW(),C818))</f>
      </c>
    </row>
    <row r="819">
      <c r="A819" s="4">
        <f>IF(B819="","",ROW()-1)</f>
      </c>
      <c r="B819" s="5"/>
      <c r="C819" s="2">
        <f>IF(B819="","",IF(C819="",NOW(),C819))</f>
      </c>
    </row>
    <row r="820">
      <c r="A820" s="4">
        <f>IF(B820="","",ROW()-1)</f>
      </c>
      <c r="B820" s="5"/>
      <c r="C820" s="2">
        <f>IF(B820="","",IF(C820="",NOW(),C820))</f>
      </c>
    </row>
    <row r="821">
      <c r="A821" s="4">
        <f>IF(B821="","",ROW()-1)</f>
      </c>
      <c r="B821" s="5"/>
      <c r="C821" s="2">
        <f>IF(B821="","",IF(C821="",NOW(),C821))</f>
      </c>
    </row>
    <row r="822">
      <c r="A822" s="4">
        <f>IF(B822="","",ROW()-1)</f>
      </c>
      <c r="B822" s="5"/>
      <c r="C822" s="2">
        <f>IF(B822="","",IF(C822="",NOW(),C822))</f>
      </c>
    </row>
    <row r="823">
      <c r="A823" s="4">
        <f>IF(B823="","",ROW()-1)</f>
      </c>
      <c r="B823" s="5"/>
      <c r="C823" s="2">
        <f>IF(B823="","",IF(C823="",NOW(),C823))</f>
      </c>
    </row>
    <row r="824">
      <c r="A824" s="4">
        <f>IF(B824="","",ROW()-1)</f>
      </c>
      <c r="B824" s="5"/>
      <c r="C824" s="2">
        <f>IF(B824="","",IF(C824="",NOW(),C824))</f>
      </c>
    </row>
    <row r="825">
      <c r="A825" s="4">
        <f>IF(B825="","",ROW()-1)</f>
      </c>
      <c r="B825" s="5"/>
      <c r="C825" s="2">
        <f>IF(B825="","",IF(C825="",NOW(),C825))</f>
      </c>
    </row>
    <row r="826">
      <c r="A826" s="4">
        <f>IF(B826="","",ROW()-1)</f>
      </c>
      <c r="B826" s="5"/>
      <c r="C826" s="2">
        <f>IF(B826="","",IF(C826="",NOW(),C826))</f>
      </c>
    </row>
    <row r="827">
      <c r="A827" s="4">
        <f>IF(B827="","",ROW()-1)</f>
      </c>
      <c r="B827" s="5"/>
      <c r="C827" s="2">
        <f>IF(B827="","",IF(C827="",NOW(),C827))</f>
      </c>
    </row>
    <row r="828">
      <c r="A828" s="4">
        <f>IF(B828="","",ROW()-1)</f>
      </c>
      <c r="B828" s="5"/>
      <c r="C828" s="2">
        <f>IF(B828="","",IF(C828="",NOW(),C828))</f>
      </c>
    </row>
    <row r="829">
      <c r="A829" s="4">
        <f>IF(B829="","",ROW()-1)</f>
      </c>
      <c r="B829" s="5"/>
      <c r="C829" s="2">
        <f>IF(B829="","",IF(C829="",NOW(),C829))</f>
      </c>
    </row>
    <row r="830">
      <c r="A830" s="4">
        <f>IF(B830="","",ROW()-1)</f>
      </c>
      <c r="B830" s="5"/>
      <c r="C830" s="2">
        <f>IF(B830="","",IF(C830="",NOW(),C830))</f>
      </c>
    </row>
    <row r="831">
      <c r="A831" s="4">
        <f>IF(B831="","",ROW()-1)</f>
      </c>
      <c r="B831" s="5"/>
      <c r="C831" s="2">
        <f>IF(B831="","",IF(C831="",NOW(),C831))</f>
      </c>
    </row>
    <row r="832">
      <c r="A832" s="4">
        <f>IF(B832="","",ROW()-1)</f>
      </c>
      <c r="B832" s="5"/>
      <c r="C832" s="2">
        <f>IF(B832="","",IF(C832="",NOW(),C832))</f>
      </c>
    </row>
    <row r="833">
      <c r="A833" s="4">
        <f>IF(B833="","",ROW()-1)</f>
      </c>
      <c r="B833" s="5"/>
      <c r="C833" s="2">
        <f>IF(B833="","",IF(C833="",NOW(),C833))</f>
      </c>
    </row>
    <row r="834">
      <c r="A834" s="4">
        <f>IF(B834="","",ROW()-1)</f>
      </c>
      <c r="B834" s="5"/>
      <c r="C834" s="2">
        <f>IF(B834="","",IF(C834="",NOW(),C834))</f>
      </c>
    </row>
    <row r="835">
      <c r="A835" s="4">
        <f>IF(B835="","",ROW()-1)</f>
      </c>
      <c r="B835" s="5"/>
      <c r="C835" s="2">
        <f>IF(B835="","",IF(C835="",NOW(),C835))</f>
      </c>
    </row>
    <row r="836">
      <c r="A836" s="4">
        <f>IF(B836="","",ROW()-1)</f>
      </c>
      <c r="B836" s="5"/>
      <c r="C836" s="2">
        <f>IF(B836="","",IF(C836="",NOW(),C836))</f>
      </c>
    </row>
    <row r="837">
      <c r="A837" s="4">
        <f>IF(B837="","",ROW()-1)</f>
      </c>
      <c r="B837" s="5"/>
      <c r="C837" s="2">
        <f>IF(B837="","",IF(C837="",NOW(),C837))</f>
      </c>
    </row>
    <row r="838">
      <c r="A838" s="4">
        <f>IF(B838="","",ROW()-1)</f>
      </c>
      <c r="B838" s="5"/>
      <c r="C838" s="2">
        <f>IF(B838="","",IF(C838="",NOW(),C838))</f>
      </c>
    </row>
    <row r="839">
      <c r="A839" s="4">
        <f>IF(B839="","",ROW()-1)</f>
      </c>
      <c r="B839" s="5"/>
      <c r="C839" s="2">
        <f>IF(B839="","",IF(C839="",NOW(),C839))</f>
      </c>
    </row>
    <row r="840">
      <c r="A840" s="4">
        <f>IF(B840="","",ROW()-1)</f>
      </c>
      <c r="B840" s="5"/>
      <c r="C840" s="2">
        <f>IF(B840="","",IF(C840="",NOW(),C840))</f>
      </c>
    </row>
    <row r="841">
      <c r="A841" s="4">
        <f>IF(B841="","",ROW()-1)</f>
      </c>
      <c r="B841" s="5"/>
      <c r="C841" s="2">
        <f>IF(B841="","",IF(C841="",NOW(),C841))</f>
      </c>
    </row>
    <row r="842">
      <c r="A842" s="4">
        <f>IF(B842="","",ROW()-1)</f>
      </c>
      <c r="B842" s="5"/>
      <c r="C842" s="2">
        <f>IF(B842="","",IF(C842="",NOW(),C842))</f>
      </c>
    </row>
    <row r="843">
      <c r="A843" s="4">
        <f>IF(B843="","",ROW()-1)</f>
      </c>
      <c r="B843" s="5"/>
      <c r="C843" s="2">
        <f>IF(B843="","",IF(C843="",NOW(),C843))</f>
      </c>
    </row>
    <row r="844">
      <c r="A844" s="4">
        <f>IF(B844="","",ROW()-1)</f>
      </c>
      <c r="B844" s="5"/>
      <c r="C844" s="2">
        <f>IF(B844="","",IF(C844="",NOW(),C844))</f>
      </c>
    </row>
    <row r="845">
      <c r="A845" s="4">
        <f>IF(B845="","",ROW()-1)</f>
      </c>
      <c r="B845" s="5"/>
      <c r="C845" s="2">
        <f>IF(B845="","",IF(C845="",NOW(),C845))</f>
      </c>
    </row>
    <row r="846">
      <c r="A846" s="4">
        <f>IF(B846="","",ROW()-1)</f>
      </c>
      <c r="B846" s="5"/>
      <c r="C846" s="2">
        <f>IF(B846="","",IF(C846="",NOW(),C846))</f>
      </c>
    </row>
    <row r="847">
      <c r="A847" s="4">
        <f>IF(B847="","",ROW()-1)</f>
      </c>
      <c r="B847" s="5"/>
      <c r="C847" s="2">
        <f>IF(B847="","",IF(C847="",NOW(),C847))</f>
      </c>
    </row>
    <row r="848">
      <c r="A848" s="4">
        <f>IF(B848="","",ROW()-1)</f>
      </c>
      <c r="B848" s="5"/>
      <c r="C848" s="2">
        <f>IF(B848="","",IF(C848="",NOW(),C848))</f>
      </c>
    </row>
    <row r="849">
      <c r="A849" s="4">
        <f>IF(B849="","",ROW()-1)</f>
      </c>
      <c r="B849" s="5"/>
      <c r="C849" s="2">
        <f>IF(B849="","",IF(C849="",NOW(),C849))</f>
      </c>
    </row>
    <row r="850">
      <c r="A850" s="4">
        <f>IF(B850="","",ROW()-1)</f>
      </c>
      <c r="B850" s="5"/>
      <c r="C850" s="2">
        <f>IF(B850="","",IF(C850="",NOW(),C850))</f>
      </c>
    </row>
    <row r="851">
      <c r="A851" s="4">
        <f>IF(B851="","",ROW()-1)</f>
      </c>
      <c r="B851" s="5"/>
      <c r="C851" s="2">
        <f>IF(B851="","",IF(C851="",NOW(),C851))</f>
      </c>
    </row>
    <row r="852">
      <c r="A852" s="4">
        <f>IF(B852="","",ROW()-1)</f>
      </c>
      <c r="B852" s="5"/>
      <c r="C852" s="2">
        <f>IF(B852="","",IF(C852="",NOW(),C852))</f>
      </c>
    </row>
    <row r="853">
      <c r="A853" s="4">
        <f>IF(B853="","",ROW()-1)</f>
      </c>
      <c r="B853" s="5"/>
      <c r="C853" s="2">
        <f>IF(B853="","",IF(C853="",NOW(),C853))</f>
      </c>
    </row>
    <row r="854">
      <c r="A854" s="4">
        <f>IF(B854="","",ROW()-1)</f>
      </c>
      <c r="B854" s="5"/>
      <c r="C854" s="2">
        <f>IF(B854="","",IF(C854="",NOW(),C854))</f>
      </c>
    </row>
    <row r="855">
      <c r="A855" s="4">
        <f>IF(B855="","",ROW()-1)</f>
      </c>
      <c r="B855" s="5"/>
      <c r="C855" s="2">
        <f>IF(B855="","",IF(C855="",NOW(),C855))</f>
      </c>
    </row>
    <row r="856">
      <c r="A856" s="4">
        <f>IF(B856="","",ROW()-1)</f>
      </c>
      <c r="B856" s="5"/>
      <c r="C856" s="2">
        <f>IF(B856="","",IF(C856="",NOW(),C856))</f>
      </c>
    </row>
    <row r="857">
      <c r="A857" s="4">
        <f>IF(B857="","",ROW()-1)</f>
      </c>
      <c r="B857" s="5"/>
      <c r="C857" s="2">
        <f>IF(B857="","",IF(C857="",NOW(),C857))</f>
      </c>
    </row>
    <row r="858">
      <c r="A858" s="4">
        <f>IF(B858="","",ROW()-1)</f>
      </c>
      <c r="B858" s="5"/>
      <c r="C858" s="2">
        <f>IF(B858="","",IF(C858="",NOW(),C858))</f>
      </c>
    </row>
    <row r="859">
      <c r="A859" s="4">
        <f>IF(B859="","",ROW()-1)</f>
      </c>
      <c r="B859" s="5"/>
      <c r="C859" s="2">
        <f>IF(B859="","",IF(C859="",NOW(),C859))</f>
      </c>
    </row>
    <row r="860">
      <c r="A860" s="4">
        <f>IF(B860="","",ROW()-1)</f>
      </c>
      <c r="B860" s="5"/>
      <c r="C860" s="2">
        <f>IF(B860="","",IF(C860="",NOW(),C860))</f>
      </c>
    </row>
    <row r="861">
      <c r="A861" s="4">
        <f>IF(B861="","",ROW()-1)</f>
      </c>
      <c r="B861" s="5"/>
      <c r="C861" s="2">
        <f>IF(B861="","",IF(C861="",NOW(),C861))</f>
      </c>
    </row>
    <row r="862">
      <c r="A862" s="4">
        <f>IF(B862="","",ROW()-1)</f>
      </c>
      <c r="B862" s="5"/>
      <c r="C862" s="2">
        <f>IF(B862="","",IF(C862="",NOW(),C862))</f>
      </c>
    </row>
    <row r="863">
      <c r="A863" s="4">
        <f>IF(B863="","",ROW()-1)</f>
      </c>
      <c r="B863" s="5"/>
      <c r="C863" s="2">
        <f>IF(B863="","",IF(C863="",NOW(),C863))</f>
      </c>
    </row>
    <row r="864">
      <c r="A864" s="4">
        <f>IF(B864="","",ROW()-1)</f>
      </c>
      <c r="B864" s="5"/>
      <c r="C864" s="2">
        <f>IF(B864="","",IF(C864="",NOW(),C864))</f>
      </c>
    </row>
    <row r="865">
      <c r="A865" s="4">
        <f>IF(B865="","",ROW()-1)</f>
      </c>
      <c r="B865" s="5"/>
      <c r="C865" s="2">
        <f>IF(B865="","",IF(C865="",NOW(),C865))</f>
      </c>
    </row>
    <row r="866">
      <c r="A866" s="4">
        <f>IF(B866="","",ROW()-1)</f>
      </c>
      <c r="B866" s="5"/>
      <c r="C866" s="2">
        <f>IF(B866="","",IF(C866="",NOW(),C866))</f>
      </c>
    </row>
    <row r="867">
      <c r="A867" s="4">
        <f>IF(B867="","",ROW()-1)</f>
      </c>
      <c r="B867" s="5"/>
      <c r="C867" s="2">
        <f>IF(B867="","",IF(C867="",NOW(),C867))</f>
      </c>
    </row>
    <row r="868">
      <c r="A868" s="4">
        <f>IF(B868="","",ROW()-1)</f>
      </c>
      <c r="B868" s="5"/>
      <c r="C868" s="2">
        <f>IF(B868="","",IF(C868="",NOW(),C868))</f>
      </c>
    </row>
    <row r="869">
      <c r="A869" s="4">
        <f>IF(B869="","",ROW()-1)</f>
      </c>
      <c r="B869" s="5"/>
      <c r="C869" s="2">
        <f>IF(B869="","",IF(C869="",NOW(),C869))</f>
      </c>
    </row>
    <row r="870">
      <c r="A870" s="4">
        <f>IF(B870="","",ROW()-1)</f>
      </c>
      <c r="B870" s="5"/>
      <c r="C870" s="2">
        <f>IF(B870="","",IF(C870="",NOW(),C870))</f>
      </c>
    </row>
    <row r="871">
      <c r="A871" s="4">
        <f>IF(B871="","",ROW()-1)</f>
      </c>
      <c r="B871" s="5"/>
      <c r="C871" s="2">
        <f>IF(B871="","",IF(C871="",NOW(),C871))</f>
      </c>
    </row>
    <row r="872">
      <c r="A872" s="4">
        <f>IF(B872="","",ROW()-1)</f>
      </c>
      <c r="B872" s="5"/>
      <c r="C872" s="2">
        <f>IF(B872="","",IF(C872="",NOW(),C872))</f>
      </c>
    </row>
    <row r="873">
      <c r="A873" s="4">
        <f>IF(B873="","",ROW()-1)</f>
      </c>
      <c r="B873" s="5"/>
      <c r="C873" s="2">
        <f>IF(B873="","",IF(C873="",NOW(),C873))</f>
      </c>
    </row>
    <row r="874">
      <c r="A874" s="4">
        <f>IF(B874="","",ROW()-1)</f>
      </c>
      <c r="B874" s="5"/>
      <c r="C874" s="2">
        <f>IF(B874="","",IF(C874="",NOW(),C874))</f>
      </c>
    </row>
    <row r="875">
      <c r="A875" s="4">
        <f>IF(B875="","",ROW()-1)</f>
      </c>
      <c r="B875" s="5"/>
      <c r="C875" s="2">
        <f>IF(B875="","",IF(C875="",NOW(),C875))</f>
      </c>
    </row>
    <row r="876">
      <c r="A876" s="4">
        <f>IF(B876="","",ROW()-1)</f>
      </c>
      <c r="B876" s="5"/>
      <c r="C876" s="2">
        <f>IF(B876="","",IF(C876="",NOW(),C876))</f>
      </c>
    </row>
    <row r="877">
      <c r="A877" s="4">
        <f>IF(B877="","",ROW()-1)</f>
      </c>
      <c r="B877" s="5"/>
      <c r="C877" s="2">
        <f>IF(B877="","",IF(C877="",NOW(),C877))</f>
      </c>
    </row>
    <row r="878">
      <c r="A878" s="4">
        <f>IF(B878="","",ROW()-1)</f>
      </c>
      <c r="B878" s="5"/>
      <c r="C878" s="2">
        <f>IF(B878="","",IF(C878="",NOW(),C878))</f>
      </c>
    </row>
    <row r="879">
      <c r="A879" s="4">
        <f>IF(B879="","",ROW()-1)</f>
      </c>
      <c r="B879" s="5"/>
      <c r="C879" s="2">
        <f>IF(B879="","",IF(C879="",NOW(),C879))</f>
      </c>
    </row>
    <row r="880">
      <c r="A880" s="4">
        <f>IF(B880="","",ROW()-1)</f>
      </c>
      <c r="B880" s="5"/>
      <c r="C880" s="2">
        <f>IF(B880="","",IF(C880="",NOW(),C880))</f>
      </c>
    </row>
    <row r="881">
      <c r="A881" s="4">
        <f>IF(B881="","",ROW()-1)</f>
      </c>
      <c r="B881" s="5"/>
      <c r="C881" s="2">
        <f>IF(B881="","",IF(C881="",NOW(),C881))</f>
      </c>
    </row>
    <row r="882">
      <c r="A882" s="4">
        <f>IF(B882="","",ROW()-1)</f>
      </c>
      <c r="B882" s="5"/>
      <c r="C882" s="2">
        <f>IF(B882="","",IF(C882="",NOW(),C882))</f>
      </c>
    </row>
    <row r="883">
      <c r="A883" s="4">
        <f>IF(B883="","",ROW()-1)</f>
      </c>
      <c r="B883" s="5"/>
      <c r="C883" s="2">
        <f>IF(B883="","",IF(C883="",NOW(),C883))</f>
      </c>
    </row>
    <row r="884">
      <c r="A884" s="4">
        <f>IF(B884="","",ROW()-1)</f>
      </c>
      <c r="B884" s="5"/>
      <c r="C884" s="2">
        <f>IF(B884="","",IF(C884="",NOW(),C884))</f>
      </c>
    </row>
    <row r="885">
      <c r="A885" s="4">
        <f>IF(B885="","",ROW()-1)</f>
      </c>
      <c r="B885" s="5"/>
      <c r="C885" s="2">
        <f>IF(B885="","",IF(C885="",NOW(),C885))</f>
      </c>
    </row>
    <row r="886">
      <c r="A886" s="4">
        <f>IF(B886="","",ROW()-1)</f>
      </c>
      <c r="B886" s="5"/>
      <c r="C886" s="2">
        <f>IF(B886="","",IF(C886="",NOW(),C886))</f>
      </c>
    </row>
    <row r="887">
      <c r="A887" s="4">
        <f>IF(B887="","",ROW()-1)</f>
      </c>
      <c r="B887" s="5"/>
      <c r="C887" s="2">
        <f>IF(B887="","",IF(C887="",NOW(),C887))</f>
      </c>
    </row>
    <row r="888">
      <c r="A888" s="4">
        <f>IF(B888="","",ROW()-1)</f>
      </c>
      <c r="B888" s="5"/>
      <c r="C888" s="2">
        <f>IF(B888="","",IF(C888="",NOW(),C888))</f>
      </c>
    </row>
    <row r="889">
      <c r="A889" s="4">
        <f>IF(B889="","",ROW()-1)</f>
      </c>
      <c r="B889" s="5"/>
      <c r="C889" s="2">
        <f>IF(B889="","",IF(C889="",NOW(),C889))</f>
      </c>
    </row>
    <row r="890">
      <c r="A890" s="4">
        <f>IF(B890="","",ROW()-1)</f>
      </c>
      <c r="B890" s="5"/>
      <c r="C890" s="2">
        <f>IF(B890="","",IF(C890="",NOW(),C890))</f>
      </c>
    </row>
    <row r="891">
      <c r="A891" s="4">
        <f>IF(B891="","",ROW()-1)</f>
      </c>
      <c r="B891" s="5"/>
      <c r="C891" s="2">
        <f>IF(B891="","",IF(C891="",NOW(),C891))</f>
      </c>
    </row>
    <row r="892">
      <c r="A892" s="4">
        <f>IF(B892="","",ROW()-1)</f>
      </c>
      <c r="B892" s="5"/>
      <c r="C892" s="2">
        <f>IF(B892="","",IF(C892="",NOW(),C892))</f>
      </c>
    </row>
    <row r="893">
      <c r="A893" s="4">
        <f>IF(B893="","",ROW()-1)</f>
      </c>
      <c r="B893" s="5"/>
      <c r="C893" s="2">
        <f>IF(B893="","",IF(C893="",NOW(),C893))</f>
      </c>
    </row>
    <row r="894">
      <c r="A894" s="4">
        <f>IF(B894="","",ROW()-1)</f>
      </c>
      <c r="B894" s="5"/>
      <c r="C894" s="2">
        <f>IF(B894="","",IF(C894="",NOW(),C894))</f>
      </c>
    </row>
    <row r="895">
      <c r="A895" s="4">
        <f>IF(B895="","",ROW()-1)</f>
      </c>
      <c r="B895" s="5"/>
      <c r="C895" s="2">
        <f>IF(B895="","",IF(C895="",NOW(),C895))</f>
      </c>
    </row>
    <row r="896">
      <c r="A896" s="4">
        <f>IF(B896="","",ROW()-1)</f>
      </c>
      <c r="B896" s="5"/>
      <c r="C896" s="2">
        <f>IF(B896="","",IF(C896="",NOW(),C896))</f>
      </c>
    </row>
    <row r="897">
      <c r="A897" s="4">
        <f>IF(B897="","",ROW()-1)</f>
      </c>
      <c r="B897" s="5"/>
      <c r="C897" s="2">
        <f>IF(B897="","",IF(C897="",NOW(),C897))</f>
      </c>
    </row>
    <row r="898">
      <c r="A898" s="4">
        <f>IF(B898="","",ROW()-1)</f>
      </c>
      <c r="B898" s="5"/>
      <c r="C898" s="2">
        <f>IF(B898="","",IF(C898="",NOW(),C898))</f>
      </c>
    </row>
    <row r="899">
      <c r="A899" s="4">
        <f>IF(B899="","",ROW()-1)</f>
      </c>
      <c r="B899" s="5"/>
      <c r="C899" s="2">
        <f>IF(B899="","",IF(C899="",NOW(),C899))</f>
      </c>
    </row>
    <row r="900">
      <c r="A900" s="4">
        <f>IF(B900="","",ROW()-1)</f>
      </c>
      <c r="B900" s="5"/>
      <c r="C900" s="2">
        <f>IF(B900="","",IF(C900="",NOW(),C900))</f>
      </c>
    </row>
    <row r="901">
      <c r="A901" s="4">
        <f>IF(B901="","",ROW()-1)</f>
      </c>
      <c r="B901" s="5"/>
      <c r="C901" s="2">
        <f>IF(B901="","",IF(C901="",NOW(),C901))</f>
      </c>
    </row>
    <row r="902">
      <c r="A902" s="4">
        <f>IF(B902="","",ROW()-1)</f>
      </c>
      <c r="B902" s="5"/>
      <c r="C902" s="2">
        <f>IF(B902="","",IF(C902="",NOW(),C902))</f>
      </c>
    </row>
    <row r="903">
      <c r="A903" s="4">
        <f>IF(B903="","",ROW()-1)</f>
      </c>
      <c r="B903" s="5"/>
      <c r="C903" s="2">
        <f>IF(B903="","",IF(C903="",NOW(),C903))</f>
      </c>
    </row>
    <row r="904">
      <c r="A904" s="4">
        <f>IF(B904="","",ROW()-1)</f>
      </c>
      <c r="B904" s="5"/>
      <c r="C904" s="2">
        <f>IF(B904="","",IF(C904="",NOW(),C904))</f>
      </c>
    </row>
    <row r="905">
      <c r="A905" s="4">
        <f>IF(B905="","",ROW()-1)</f>
      </c>
      <c r="B905" s="5"/>
      <c r="C905" s="2">
        <f>IF(B905="","",IF(C905="",NOW(),C905))</f>
      </c>
    </row>
    <row r="906">
      <c r="A906" s="4">
        <f>IF(B906="","",ROW()-1)</f>
      </c>
      <c r="B906" s="5"/>
      <c r="C906" s="2">
        <f>IF(B906="","",IF(C906="",NOW(),C906))</f>
      </c>
    </row>
    <row r="907">
      <c r="A907" s="4">
        <f>IF(B907="","",ROW()-1)</f>
      </c>
      <c r="B907" s="5"/>
      <c r="C907" s="2">
        <f>IF(B907="","",IF(C907="",NOW(),C907))</f>
      </c>
    </row>
    <row r="908">
      <c r="A908" s="4">
        <f>IF(B908="","",ROW()-1)</f>
      </c>
      <c r="B908" s="5"/>
      <c r="C908" s="2">
        <f>IF(B908="","",IF(C908="",NOW(),C908))</f>
      </c>
    </row>
    <row r="909">
      <c r="A909" s="4">
        <f>IF(B909="","",ROW()-1)</f>
      </c>
      <c r="B909" s="5"/>
      <c r="C909" s="2">
        <f>IF(B909="","",IF(C909="",NOW(),C909))</f>
      </c>
    </row>
    <row r="910">
      <c r="A910" s="4">
        <f>IF(B910="","",ROW()-1)</f>
      </c>
      <c r="B910" s="5"/>
      <c r="C910" s="2">
        <f>IF(B910="","",IF(C910="",NOW(),C910))</f>
      </c>
    </row>
    <row r="911">
      <c r="A911" s="4">
        <f>IF(B911="","",ROW()-1)</f>
      </c>
      <c r="B911" s="5"/>
      <c r="C911" s="2">
        <f>IF(B911="","",IF(C911="",NOW(),C911))</f>
      </c>
    </row>
    <row r="912">
      <c r="A912" s="4">
        <f>IF(B912="","",ROW()-1)</f>
      </c>
      <c r="B912" s="5"/>
      <c r="C912" s="2">
        <f>IF(B912="","",IF(C912="",NOW(),C912))</f>
      </c>
    </row>
    <row r="913">
      <c r="A913" s="4">
        <f>IF(B913="","",ROW()-1)</f>
      </c>
      <c r="B913" s="5"/>
      <c r="C913" s="2">
        <f>IF(B913="","",IF(C913="",NOW(),C913))</f>
      </c>
    </row>
    <row r="914">
      <c r="A914" s="4">
        <f>IF(B914="","",ROW()-1)</f>
      </c>
      <c r="B914" s="5"/>
      <c r="C914" s="2">
        <f>IF(B914="","",IF(C914="",NOW(),C914))</f>
      </c>
    </row>
    <row r="915">
      <c r="A915" s="4">
        <f>IF(B915="","",ROW()-1)</f>
      </c>
      <c r="B915" s="5"/>
      <c r="C915" s="2">
        <f>IF(B915="","",IF(C915="",NOW(),C915))</f>
      </c>
    </row>
    <row r="916">
      <c r="A916" s="4">
        <f>IF(B916="","",ROW()-1)</f>
      </c>
      <c r="B916" s="5"/>
      <c r="C916" s="2">
        <f>IF(B916="","",IF(C916="",NOW(),C916))</f>
      </c>
    </row>
    <row r="917">
      <c r="A917" s="4">
        <f>IF(B917="","",ROW()-1)</f>
      </c>
      <c r="B917" s="5"/>
      <c r="C917" s="2">
        <f>IF(B917="","",IF(C917="",NOW(),C917))</f>
      </c>
    </row>
    <row r="918">
      <c r="A918" s="4">
        <f>IF(B918="","",ROW()-1)</f>
      </c>
      <c r="B918" s="5"/>
      <c r="C918" s="2">
        <f>IF(B918="","",IF(C918="",NOW(),C918))</f>
      </c>
    </row>
    <row r="919">
      <c r="A919" s="4">
        <f>IF(B919="","",ROW()-1)</f>
      </c>
      <c r="B919" s="5"/>
      <c r="C919" s="2">
        <f>IF(B919="","",IF(C919="",NOW(),C919))</f>
      </c>
    </row>
    <row r="920">
      <c r="A920" s="4">
        <f>IF(B920="","",ROW()-1)</f>
      </c>
      <c r="B920" s="5"/>
      <c r="C920" s="2">
        <f>IF(B920="","",IF(C920="",NOW(),C920))</f>
      </c>
    </row>
    <row r="921">
      <c r="A921" s="4">
        <f>IF(B921="","",ROW()-1)</f>
      </c>
      <c r="B921" s="5"/>
      <c r="C921" s="2">
        <f>IF(B921="","",IF(C921="",NOW(),C921))</f>
      </c>
    </row>
    <row r="922">
      <c r="A922" s="4">
        <f>IF(B922="","",ROW()-1)</f>
      </c>
      <c r="B922" s="5"/>
      <c r="C922" s="2">
        <f>IF(B922="","",IF(C922="",NOW(),C922))</f>
      </c>
    </row>
    <row r="923">
      <c r="A923" s="4">
        <f>IF(B923="","",ROW()-1)</f>
      </c>
      <c r="B923" s="5"/>
      <c r="C923" s="2">
        <f>IF(B923="","",IF(C923="",NOW(),C923))</f>
      </c>
    </row>
    <row r="924">
      <c r="A924" s="4">
        <f>IF(B924="","",ROW()-1)</f>
      </c>
      <c r="B924" s="5"/>
      <c r="C924" s="2">
        <f>IF(B924="","",IF(C924="",NOW(),C924))</f>
      </c>
    </row>
    <row r="925">
      <c r="A925" s="4">
        <f>IF(B925="","",ROW()-1)</f>
      </c>
      <c r="B925" s="5"/>
      <c r="C925" s="2">
        <f>IF(B925="","",IF(C925="",NOW(),C925))</f>
      </c>
    </row>
    <row r="926">
      <c r="A926" s="4">
        <f>IF(B926="","",ROW()-1)</f>
      </c>
      <c r="B926" s="5"/>
      <c r="C926" s="2">
        <f>IF(B926="","",IF(C926="",NOW(),C926))</f>
      </c>
    </row>
    <row r="927">
      <c r="A927" s="4">
        <f>IF(B927="","",ROW()-1)</f>
      </c>
      <c r="B927" s="5"/>
      <c r="C927" s="2">
        <f>IF(B927="","",IF(C927="",NOW(),C927))</f>
      </c>
    </row>
    <row r="928">
      <c r="A928" s="4">
        <f>IF(B928="","",ROW()-1)</f>
      </c>
      <c r="B928" s="5"/>
      <c r="C928" s="2">
        <f>IF(B928="","",IF(C928="",NOW(),C928))</f>
      </c>
    </row>
    <row r="929">
      <c r="A929" s="4">
        <f>IF(B929="","",ROW()-1)</f>
      </c>
      <c r="B929" s="5"/>
      <c r="C929" s="2">
        <f>IF(B929="","",IF(C929="",NOW(),C929))</f>
      </c>
    </row>
    <row r="930">
      <c r="A930" s="4">
        <f>IF(B930="","",ROW()-1)</f>
      </c>
      <c r="B930" s="5"/>
      <c r="C930" s="2">
        <f>IF(B930="","",IF(C930="",NOW(),C930))</f>
      </c>
    </row>
    <row r="931">
      <c r="A931" s="4">
        <f>IF(B931="","",ROW()-1)</f>
      </c>
      <c r="B931" s="5"/>
      <c r="C931" s="2">
        <f>IF(B931="","",IF(C931="",NOW(),C931))</f>
      </c>
    </row>
    <row r="932">
      <c r="A932" s="4">
        <f>IF(B932="","",ROW()-1)</f>
      </c>
      <c r="B932" s="5"/>
      <c r="C932" s="2">
        <f>IF(B932="","",IF(C932="",NOW(),C932))</f>
      </c>
    </row>
    <row r="933">
      <c r="A933" s="4">
        <f>IF(B933="","",ROW()-1)</f>
      </c>
      <c r="B933" s="5"/>
      <c r="C933" s="2">
        <f>IF(B933="","",IF(C933="",NOW(),C933))</f>
      </c>
    </row>
    <row r="934">
      <c r="A934" s="4">
        <f>IF(B934="","",ROW()-1)</f>
      </c>
      <c r="B934" s="5"/>
      <c r="C934" s="2">
        <f>IF(B934="","",IF(C934="",NOW(),C934))</f>
      </c>
    </row>
    <row r="935">
      <c r="A935" s="4">
        <f>IF(B935="","",ROW()-1)</f>
      </c>
      <c r="B935" s="5"/>
      <c r="C935" s="2">
        <f>IF(B935="","",IF(C935="",NOW(),C935))</f>
      </c>
    </row>
    <row r="936">
      <c r="A936" s="4">
        <f>IF(B936="","",ROW()-1)</f>
      </c>
      <c r="B936" s="5"/>
      <c r="C936" s="2">
        <f>IF(B936="","",IF(C936="",NOW(),C936))</f>
      </c>
    </row>
    <row r="937">
      <c r="A937" s="4">
        <f>IF(B937="","",ROW()-1)</f>
      </c>
      <c r="B937" s="5"/>
      <c r="C937" s="2">
        <f>IF(B937="","",IF(C937="",NOW(),C937))</f>
      </c>
    </row>
    <row r="938">
      <c r="A938" s="4">
        <f>IF(B938="","",ROW()-1)</f>
      </c>
      <c r="B938" s="5"/>
      <c r="C938" s="2">
        <f>IF(B938="","",IF(C938="",NOW(),C938))</f>
      </c>
    </row>
    <row r="939">
      <c r="A939" s="4">
        <f>IF(B939="","",ROW()-1)</f>
      </c>
      <c r="B939" s="5"/>
      <c r="C939" s="2">
        <f>IF(B939="","",IF(C939="",NOW(),C939))</f>
      </c>
    </row>
    <row r="940">
      <c r="A940" s="4">
        <f>IF(B940="","",ROW()-1)</f>
      </c>
      <c r="B940" s="5"/>
      <c r="C940" s="2">
        <f>IF(B940="","",IF(C940="",NOW(),C940))</f>
      </c>
    </row>
    <row r="941">
      <c r="A941" s="4">
        <f>IF(B941="","",ROW()-1)</f>
      </c>
      <c r="B941" s="5"/>
      <c r="C941" s="2">
        <f>IF(B941="","",IF(C941="",NOW(),C941))</f>
      </c>
    </row>
    <row r="942">
      <c r="A942" s="4">
        <f>IF(B942="","",ROW()-1)</f>
      </c>
      <c r="B942" s="5"/>
      <c r="C942" s="2">
        <f>IF(B942="","",IF(C942="",NOW(),C942))</f>
      </c>
    </row>
    <row r="943">
      <c r="A943" s="4">
        <f>IF(B943="","",ROW()-1)</f>
      </c>
      <c r="B943" s="5"/>
      <c r="C943" s="2">
        <f>IF(B943="","",IF(C943="",NOW(),C943))</f>
      </c>
    </row>
    <row r="944">
      <c r="A944" s="4">
        <f>IF(B944="","",ROW()-1)</f>
      </c>
      <c r="B944" s="5"/>
      <c r="C944" s="2">
        <f>IF(B944="","",IF(C944="",NOW(),C944))</f>
      </c>
    </row>
    <row r="945">
      <c r="A945" s="4">
        <f>IF(B945="","",ROW()-1)</f>
      </c>
      <c r="B945" s="5"/>
      <c r="C945" s="2">
        <f>IF(B945="","",IF(C945="",NOW(),C945))</f>
      </c>
    </row>
    <row r="946">
      <c r="A946" s="4">
        <f>IF(B946="","",ROW()-1)</f>
      </c>
      <c r="B946" s="5"/>
      <c r="C946" s="2">
        <f>IF(B946="","",IF(C946="",NOW(),C946))</f>
      </c>
    </row>
    <row r="947">
      <c r="A947" s="4">
        <f>IF(B947="","",ROW()-1)</f>
      </c>
      <c r="B947" s="5"/>
      <c r="C947" s="2">
        <f>IF(B947="","",IF(C947="",NOW(),C947))</f>
      </c>
    </row>
    <row r="948">
      <c r="A948" s="4">
        <f>IF(B948="","",ROW()-1)</f>
      </c>
      <c r="B948" s="5"/>
      <c r="C948" s="2">
        <f>IF(B948="","",IF(C948="",NOW(),C948))</f>
      </c>
    </row>
    <row r="949">
      <c r="A949" s="4">
        <f>IF(B949="","",ROW()-1)</f>
      </c>
      <c r="B949" s="5"/>
      <c r="C949" s="2">
        <f>IF(B949="","",IF(C949="",NOW(),C949))</f>
      </c>
    </row>
    <row r="950">
      <c r="A950" s="4">
        <f>IF(B950="","",ROW()-1)</f>
      </c>
      <c r="B950" s="5"/>
      <c r="C950" s="2">
        <f>IF(B950="","",IF(C950="",NOW(),C950))</f>
      </c>
    </row>
    <row r="951">
      <c r="A951" s="4">
        <f>IF(B951="","",ROW()-1)</f>
      </c>
      <c r="B951" s="5"/>
      <c r="C951" s="2">
        <f>IF(B951="","",IF(C951="",NOW(),C951))</f>
      </c>
    </row>
    <row r="952">
      <c r="A952" s="4">
        <f>IF(B952="","",ROW()-1)</f>
      </c>
      <c r="B952" s="5"/>
      <c r="C952" s="2">
        <f>IF(B952="","",IF(C952="",NOW(),C952))</f>
      </c>
    </row>
    <row r="953">
      <c r="A953" s="4">
        <f>IF(B953="","",ROW()-1)</f>
      </c>
      <c r="B953" s="5"/>
      <c r="C953" s="2">
        <f>IF(B953="","",IF(C953="",NOW(),C953))</f>
      </c>
    </row>
    <row r="954">
      <c r="A954" s="4">
        <f>IF(B954="","",ROW()-1)</f>
      </c>
      <c r="B954" s="5"/>
      <c r="C954" s="2">
        <f>IF(B954="","",IF(C954="",NOW(),C954))</f>
      </c>
    </row>
    <row r="955">
      <c r="A955" s="4">
        <f>IF(B955="","",ROW()-1)</f>
      </c>
      <c r="B955" s="5"/>
      <c r="C955" s="2">
        <f>IF(B955="","",IF(C955="",NOW(),C955))</f>
      </c>
    </row>
    <row r="956">
      <c r="A956" s="4">
        <f>IF(B956="","",ROW()-1)</f>
      </c>
      <c r="B956" s="5"/>
      <c r="C956" s="2">
        <f>IF(B956="","",IF(C956="",NOW(),C956))</f>
      </c>
    </row>
    <row r="957">
      <c r="A957" s="4">
        <f>IF(B957="","",ROW()-1)</f>
      </c>
      <c r="B957" s="5"/>
      <c r="C957" s="2">
        <f>IF(B957="","",IF(C957="",NOW(),C957))</f>
      </c>
    </row>
    <row r="958">
      <c r="A958" s="4">
        <f>IF(B958="","",ROW()-1)</f>
      </c>
      <c r="B958" s="5"/>
      <c r="C958" s="2">
        <f>IF(B958="","",IF(C958="",NOW(),C958))</f>
      </c>
    </row>
    <row r="959">
      <c r="A959" s="4">
        <f>IF(B959="","",ROW()-1)</f>
      </c>
      <c r="B959" s="5"/>
      <c r="C959" s="2">
        <f>IF(B959="","",IF(C959="",NOW(),C959))</f>
      </c>
    </row>
    <row r="960">
      <c r="A960" s="4">
        <f>IF(B960="","",ROW()-1)</f>
      </c>
      <c r="B960" s="5"/>
      <c r="C960" s="2">
        <f>IF(B960="","",IF(C960="",NOW(),C960))</f>
      </c>
    </row>
    <row r="961">
      <c r="A961" s="4">
        <f>IF(B961="","",ROW()-1)</f>
      </c>
      <c r="B961" s="5"/>
      <c r="C961" s="2">
        <f>IF(B961="","",IF(C961="",NOW(),C961))</f>
      </c>
    </row>
    <row r="962">
      <c r="A962" s="4">
        <f>IF(B962="","",ROW()-1)</f>
      </c>
      <c r="B962" s="5"/>
      <c r="C962" s="2">
        <f>IF(B962="","",IF(C962="",NOW(),C962))</f>
      </c>
    </row>
    <row r="963">
      <c r="A963" s="4">
        <f>IF(B963="","",ROW()-1)</f>
      </c>
      <c r="B963" s="5"/>
      <c r="C963" s="2">
        <f>IF(B963="","",IF(C963="",NOW(),C963))</f>
      </c>
    </row>
    <row r="964">
      <c r="A964" s="4">
        <f>IF(B964="","",ROW()-1)</f>
      </c>
      <c r="B964" s="5"/>
      <c r="C964" s="2">
        <f>IF(B964="","",IF(C964="",NOW(),C964))</f>
      </c>
    </row>
    <row r="965">
      <c r="A965" s="4">
        <f>IF(B965="","",ROW()-1)</f>
      </c>
      <c r="B965" s="5"/>
      <c r="C965" s="2">
        <f>IF(B965="","",IF(C965="",NOW(),C965))</f>
      </c>
    </row>
    <row r="966">
      <c r="A966" s="4">
        <f>IF(B966="","",ROW()-1)</f>
      </c>
      <c r="B966" s="5"/>
      <c r="C966" s="2">
        <f>IF(B966="","",IF(C966="",NOW(),C966))</f>
      </c>
    </row>
    <row r="967">
      <c r="A967" s="4">
        <f>IF(B967="","",ROW()-1)</f>
      </c>
      <c r="B967" s="5"/>
      <c r="C967" s="2">
        <f>IF(B967="","",IF(C967="",NOW(),C967))</f>
      </c>
    </row>
    <row r="968">
      <c r="A968" s="4">
        <f>IF(B968="","",ROW()-1)</f>
      </c>
      <c r="B968" s="5"/>
      <c r="C968" s="2">
        <f>IF(B968="","",IF(C968="",NOW(),C968))</f>
      </c>
    </row>
    <row r="969">
      <c r="A969" s="4">
        <f>IF(B969="","",ROW()-1)</f>
      </c>
      <c r="B969" s="5"/>
      <c r="C969" s="2">
        <f>IF(B969="","",IF(C969="",NOW(),C969))</f>
      </c>
    </row>
    <row r="970">
      <c r="A970" s="4">
        <f>IF(B970="","",ROW()-1)</f>
      </c>
      <c r="B970" s="5"/>
      <c r="C970" s="2">
        <f>IF(B970="","",IF(C970="",NOW(),C970))</f>
      </c>
    </row>
    <row r="971">
      <c r="A971" s="4">
        <f>IF(B971="","",ROW()-1)</f>
      </c>
      <c r="B971" s="5"/>
      <c r="C971" s="2">
        <f>IF(B971="","",IF(C971="",NOW(),C971))</f>
      </c>
    </row>
    <row r="972">
      <c r="A972" s="4">
        <f>IF(B972="","",ROW()-1)</f>
      </c>
      <c r="B972" s="5"/>
      <c r="C972" s="2">
        <f>IF(B972="","",IF(C972="",NOW(),C972))</f>
      </c>
    </row>
    <row r="973">
      <c r="A973" s="4">
        <f>IF(B973="","",ROW()-1)</f>
      </c>
      <c r="B973" s="5"/>
      <c r="C973" s="2">
        <f>IF(B973="","",IF(C973="",NOW(),C973))</f>
      </c>
    </row>
    <row r="974">
      <c r="A974" s="4">
        <f>IF(B974="","",ROW()-1)</f>
      </c>
      <c r="B974" s="5"/>
      <c r="C974" s="2">
        <f>IF(B974="","",IF(C974="",NOW(),C974))</f>
      </c>
    </row>
    <row r="975">
      <c r="A975" s="4">
        <f>IF(B975="","",ROW()-1)</f>
      </c>
      <c r="B975" s="5"/>
      <c r="C975" s="2">
        <f>IF(B975="","",IF(C975="",NOW(),C975))</f>
      </c>
    </row>
    <row r="976">
      <c r="A976" s="4">
        <f>IF(B976="","",ROW()-1)</f>
      </c>
      <c r="B976" s="5"/>
      <c r="C976" s="2">
        <f>IF(B976="","",IF(C976="",NOW(),C976))</f>
      </c>
    </row>
    <row r="977">
      <c r="A977" s="4">
        <f>IF(B977="","",ROW()-1)</f>
      </c>
      <c r="B977" s="5"/>
      <c r="C977" s="2">
        <f>IF(B977="","",IF(C977="",NOW(),C977))</f>
      </c>
    </row>
    <row r="978">
      <c r="A978" s="4">
        <f>IF(B978="","",ROW()-1)</f>
      </c>
      <c r="B978" s="5"/>
      <c r="C978" s="2">
        <f>IF(B978="","",IF(C978="",NOW(),C978))</f>
      </c>
    </row>
    <row r="979">
      <c r="A979" s="4">
        <f>IF(B979="","",ROW()-1)</f>
      </c>
      <c r="B979" s="5"/>
      <c r="C979" s="2">
        <f>IF(B979="","",IF(C979="",NOW(),C979))</f>
      </c>
    </row>
    <row r="980">
      <c r="A980" s="4">
        <f>IF(B980="","",ROW()-1)</f>
      </c>
      <c r="B980" s="5"/>
      <c r="C980" s="2">
        <f>IF(B980="","",IF(C980="",NOW(),C980))</f>
      </c>
    </row>
    <row r="981">
      <c r="A981" s="4">
        <f>IF(B981="","",ROW()-1)</f>
      </c>
      <c r="B981" s="5"/>
      <c r="C981" s="2">
        <f>IF(B981="","",IF(C981="",NOW(),C981))</f>
      </c>
    </row>
    <row r="982">
      <c r="A982" s="4">
        <f>IF(B982="","",ROW()-1)</f>
      </c>
      <c r="B982" s="5"/>
      <c r="C982" s="2">
        <f>IF(B982="","",IF(C982="",NOW(),C982))</f>
      </c>
    </row>
    <row r="983">
      <c r="A983" s="4">
        <f>IF(B983="","",ROW()-1)</f>
      </c>
      <c r="B983" s="5"/>
      <c r="C983" s="2">
        <f>IF(B983="","",IF(C983="",NOW(),C983))</f>
      </c>
    </row>
    <row r="984">
      <c r="A984" s="4">
        <f>IF(B984="","",ROW()-1)</f>
      </c>
      <c r="B984" s="5"/>
      <c r="C984" s="2">
        <f>IF(B984="","",IF(C984="",NOW(),C984))</f>
      </c>
    </row>
    <row r="985">
      <c r="A985" s="4">
        <f>IF(B985="","",ROW()-1)</f>
      </c>
      <c r="B985" s="5"/>
      <c r="C985" s="2">
        <f>IF(B985="","",IF(C985="",NOW(),C985))</f>
      </c>
    </row>
    <row r="986">
      <c r="A986" s="4">
        <f>IF(B986="","",ROW()-1)</f>
      </c>
      <c r="B986" s="5"/>
      <c r="C986" s="2">
        <f>IF(B986="","",IF(C986="",NOW(),C986))</f>
      </c>
    </row>
    <row r="987">
      <c r="A987" s="4">
        <f>IF(B987="","",ROW()-1)</f>
      </c>
      <c r="B987" s="5"/>
      <c r="C987" s="2">
        <f>IF(B987="","",IF(C987="",NOW(),C987))</f>
      </c>
    </row>
    <row r="988">
      <c r="A988" s="4">
        <f>IF(B988="","",ROW()-1)</f>
      </c>
      <c r="B988" s="5"/>
      <c r="C988" s="2">
        <f>IF(B988="","",IF(C988="",NOW(),C988))</f>
      </c>
    </row>
    <row r="989">
      <c r="A989" s="4">
        <f>IF(B989="","",ROW()-1)</f>
      </c>
      <c r="B989" s="5"/>
      <c r="C989" s="2">
        <f>IF(B989="","",IF(C989="",NOW(),C989))</f>
      </c>
    </row>
    <row r="990">
      <c r="A990" s="4">
        <f>IF(B990="","",ROW()-1)</f>
      </c>
      <c r="B990" s="5"/>
      <c r="C990" s="2">
        <f>IF(B990="","",IF(C990="",NOW(),C990))</f>
      </c>
    </row>
    <row r="991">
      <c r="A991" s="4">
        <f>IF(B991="","",ROW()-1)</f>
      </c>
      <c r="B991" s="5"/>
      <c r="C991" s="2">
        <f>IF(B991="","",IF(C991="",NOW(),C991))</f>
      </c>
    </row>
    <row r="992">
      <c r="A992" s="4">
        <f>IF(B992="","",ROW()-1)</f>
      </c>
      <c r="B992" s="5"/>
      <c r="C992" s="2">
        <f>IF(B992="","",IF(C992="",NOW(),C992))</f>
      </c>
    </row>
    <row r="993">
      <c r="A993" s="4">
        <f>IF(B993="","",ROW()-1)</f>
      </c>
      <c r="B993" s="5"/>
      <c r="C993" s="2">
        <f>IF(B993="","",IF(C993="",NOW(),C993))</f>
      </c>
    </row>
    <row r="994">
      <c r="A994" s="4">
        <f>IF(B994="","",ROW()-1)</f>
      </c>
      <c r="B994" s="5"/>
      <c r="C994" s="2">
        <f>IF(B994="","",IF(C994="",NOW(),C994))</f>
      </c>
    </row>
    <row r="995">
      <c r="A995" s="4">
        <f>IF(B995="","",ROW()-1)</f>
      </c>
      <c r="B995" s="5"/>
      <c r="C995" s="2">
        <f>IF(B995="","",IF(C995="",NOW(),C995))</f>
      </c>
    </row>
    <row r="996">
      <c r="A996" s="4">
        <f>IF(B996="","",ROW()-1)</f>
      </c>
      <c r="B996" s="5"/>
      <c r="C996" s="2">
        <f>IF(B996="","",IF(C996="",NOW(),C996))</f>
      </c>
    </row>
    <row r="997">
      <c r="A997" s="4">
        <f>IF(B997="","",ROW()-1)</f>
      </c>
      <c r="B997" s="5"/>
      <c r="C997" s="2">
        <f>IF(B997="","",IF(C997="",NOW(),C997))</f>
      </c>
    </row>
    <row r="998">
      <c r="A998" s="4">
        <f>IF(B998="","",ROW()-1)</f>
      </c>
      <c r="B998" s="5"/>
      <c r="C998" s="2">
        <f>IF(B998="","",IF(C998="",NOW(),C998))</f>
      </c>
    </row>
    <row r="999">
      <c r="A999" s="4">
        <f>IF(B999="","",ROW()-1)</f>
      </c>
      <c r="B999" s="5"/>
      <c r="C999" s="2">
        <f>IF(B999="","",IF(C999="",NOW(),C999))</f>
      </c>
    </row>
    <row r="1000">
      <c r="A1000" s="4">
        <f>IF(B1000="","",ROW()-1)</f>
      </c>
      <c r="B1000" s="5"/>
      <c r="C1000" s="2">
        <f>IF(B1000="","",IF(C1000="",NOW(),C1000))</f>
      </c>
    </row>
  </sheetData>
  <conditionalFormatting sqref="B2:B1000">
    <cfRule type="expression" dxfId="0" priority="1">
      <formula>AND(B2&lt;&gt;"",NOT(AND(COUNTIF('Input Barang'!$B$2:$B$1000,B2)&gt;=1,COUNTIF($B$2:$B$1000,B2)&lt;=1,COUNTIF('Output Rexa'!$B$2:$B$1000,B2)=0)))</formula>
    </cfRule>
  </conditionalFormatting>
  <dataValidations count="1">
    <dataValidation type="custom" allowBlank="1" showInputMessage="0" showErrorMessage="1" errorStyle="stop" errorTitle="Kode Tidak Valid" error="Kode ditolak. Kemungkinan: (1) kode tidak ada di sheet Input Barang, (2) kode sudah discan di sheet ini, atau (3) kode sudah discan di sheet Output Rexa." sqref="B2:B1000">
      <formula1>AND(COUNTIF('Input Barang'!$B$2:$B$1000,B2)&gt;=1,COUNTIF($B$2:$B$1000,B2)&lt;=1,COUNTIF('Output Rexa'!$B$2:$B$1000,B2)=0)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00"/>
  <sheetViews>
    <sheetView workbookViewId="0" tabSelected="1">
      <pane ySplit="1" topLeftCell="A2" activePane="bottomLeft" state="frozen"/>
      <selection pane="bottomLeft" activeCell="B2" sqref="B2"/>
    </sheetView>
  </sheetViews>
  <sheetFormatPr defaultRowHeight="15"/>
  <cols>
    <col min="1" max="1" width="6" customWidth="1"/>
    <col min="2" max="2" width="22" customWidth="1"/>
    <col min="3" max="3" width="22" customWidth="1"/>
  </cols>
  <sheetData>
    <row r="1" ht="22" customHeight="1">
      <c r="A1" s="1" t="s">
        <v>0</v>
      </c>
      <c r="B1" s="1" t="s">
        <v>1</v>
      </c>
      <c r="C1" s="1" t="s">
        <v>3</v>
      </c>
    </row>
    <row r="2">
      <c r="A2" s="4">
        <f>IF(B2="","",ROW()-1)</f>
      </c>
      <c r="B2" s="5"/>
      <c r="C2" s="2">
        <f>IF(B2="","",IF(C2="",NOW(),C2))</f>
      </c>
    </row>
    <row r="3">
      <c r="A3" s="4">
        <f>IF(B3="","",ROW()-1)</f>
      </c>
      <c r="B3" s="5"/>
      <c r="C3" s="2">
        <f>IF(B3="","",IF(C3="",NOW(),C3))</f>
      </c>
    </row>
    <row r="4">
      <c r="A4" s="4">
        <f>IF(B4="","",ROW()-1)</f>
      </c>
      <c r="B4" s="5"/>
      <c r="C4" s="2">
        <f>IF(B4="","",IF(C4="",NOW(),C4))</f>
      </c>
    </row>
    <row r="5">
      <c r="A5" s="4">
        <f>IF(B5="","",ROW()-1)</f>
      </c>
      <c r="B5" s="5"/>
      <c r="C5" s="2">
        <f>IF(B5="","",IF(C5="",NOW(),C5))</f>
      </c>
    </row>
    <row r="6">
      <c r="A6" s="4">
        <f>IF(B6="","",ROW()-1)</f>
      </c>
      <c r="B6" s="5"/>
      <c r="C6" s="2">
        <f>IF(B6="","",IF(C6="",NOW(),C6))</f>
      </c>
    </row>
    <row r="7">
      <c r="A7" s="4">
        <f>IF(B7="","",ROW()-1)</f>
      </c>
      <c r="B7" s="5"/>
      <c r="C7" s="2">
        <f>IF(B7="","",IF(C7="",NOW(),C7))</f>
      </c>
    </row>
    <row r="8">
      <c r="A8" s="4">
        <f>IF(B8="","",ROW()-1)</f>
      </c>
      <c r="B8" s="5"/>
      <c r="C8" s="2">
        <f>IF(B8="","",IF(C8="",NOW(),C8))</f>
      </c>
    </row>
    <row r="9">
      <c r="A9" s="4">
        <f>IF(B9="","",ROW()-1)</f>
      </c>
      <c r="B9" s="5"/>
      <c r="C9" s="2">
        <f>IF(B9="","",IF(C9="",NOW(),C9))</f>
      </c>
    </row>
    <row r="10">
      <c r="A10" s="4">
        <f>IF(B10="","",ROW()-1)</f>
      </c>
      <c r="B10" s="5"/>
      <c r="C10" s="2">
        <f>IF(B10="","",IF(C10="",NOW(),C10))</f>
      </c>
    </row>
    <row r="11">
      <c r="A11" s="4">
        <f>IF(B11="","",ROW()-1)</f>
      </c>
      <c r="B11" s="5"/>
      <c r="C11" s="2">
        <f>IF(B11="","",IF(C11="",NOW(),C11))</f>
      </c>
    </row>
    <row r="12">
      <c r="A12" s="4">
        <f>IF(B12="","",ROW()-1)</f>
      </c>
      <c r="B12" s="5"/>
      <c r="C12" s="2">
        <f>IF(B12="","",IF(C12="",NOW(),C12))</f>
      </c>
    </row>
    <row r="13">
      <c r="A13" s="4">
        <f>IF(B13="","",ROW()-1)</f>
      </c>
      <c r="B13" s="5"/>
      <c r="C13" s="2">
        <f>IF(B13="","",IF(C13="",NOW(),C13))</f>
      </c>
    </row>
    <row r="14">
      <c r="A14" s="4">
        <f>IF(B14="","",ROW()-1)</f>
      </c>
      <c r="B14" s="5"/>
      <c r="C14" s="2">
        <f>IF(B14="","",IF(C14="",NOW(),C14))</f>
      </c>
    </row>
    <row r="15">
      <c r="A15" s="4">
        <f>IF(B15="","",ROW()-1)</f>
      </c>
      <c r="B15" s="5"/>
      <c r="C15" s="2">
        <f>IF(B15="","",IF(C15="",NOW(),C15))</f>
      </c>
    </row>
    <row r="16">
      <c r="A16" s="4">
        <f>IF(B16="","",ROW()-1)</f>
      </c>
      <c r="B16" s="5"/>
      <c r="C16" s="2">
        <f>IF(B16="","",IF(C16="",NOW(),C16))</f>
      </c>
    </row>
    <row r="17">
      <c r="A17" s="4">
        <f>IF(B17="","",ROW()-1)</f>
      </c>
      <c r="B17" s="5"/>
      <c r="C17" s="2">
        <f>IF(B17="","",IF(C17="",NOW(),C17))</f>
      </c>
    </row>
    <row r="18">
      <c r="A18" s="4">
        <f>IF(B18="","",ROW()-1)</f>
      </c>
      <c r="B18" s="5"/>
      <c r="C18" s="2">
        <f>IF(B18="","",IF(C18="",NOW(),C18))</f>
      </c>
    </row>
    <row r="19">
      <c r="A19" s="4">
        <f>IF(B19="","",ROW()-1)</f>
      </c>
      <c r="B19" s="5"/>
      <c r="C19" s="2">
        <f>IF(B19="","",IF(C19="",NOW(),C19))</f>
      </c>
    </row>
    <row r="20">
      <c r="A20" s="4">
        <f>IF(B20="","",ROW()-1)</f>
      </c>
      <c r="B20" s="5"/>
      <c r="C20" s="2">
        <f>IF(B20="","",IF(C20="",NOW(),C20))</f>
      </c>
    </row>
    <row r="21">
      <c r="A21" s="4">
        <f>IF(B21="","",ROW()-1)</f>
      </c>
      <c r="B21" s="5"/>
      <c r="C21" s="2">
        <f>IF(B21="","",IF(C21="",NOW(),C21))</f>
      </c>
    </row>
    <row r="22">
      <c r="A22" s="4">
        <f>IF(B22="","",ROW()-1)</f>
      </c>
      <c r="B22" s="5"/>
      <c r="C22" s="2">
        <f>IF(B22="","",IF(C22="",NOW(),C22))</f>
      </c>
    </row>
    <row r="23">
      <c r="A23" s="4">
        <f>IF(B23="","",ROW()-1)</f>
      </c>
      <c r="B23" s="5"/>
      <c r="C23" s="2">
        <f>IF(B23="","",IF(C23="",NOW(),C23))</f>
      </c>
    </row>
    <row r="24">
      <c r="A24" s="4">
        <f>IF(B24="","",ROW()-1)</f>
      </c>
      <c r="B24" s="5"/>
      <c r="C24" s="2">
        <f>IF(B24="","",IF(C24="",NOW(),C24))</f>
      </c>
    </row>
    <row r="25">
      <c r="A25" s="4">
        <f>IF(B25="","",ROW()-1)</f>
      </c>
      <c r="B25" s="5"/>
      <c r="C25" s="2">
        <f>IF(B25="","",IF(C25="",NOW(),C25))</f>
      </c>
    </row>
    <row r="26">
      <c r="A26" s="4">
        <f>IF(B26="","",ROW()-1)</f>
      </c>
      <c r="B26" s="5"/>
      <c r="C26" s="2">
        <f>IF(B26="","",IF(C26="",NOW(),C26))</f>
      </c>
    </row>
    <row r="27">
      <c r="A27" s="4">
        <f>IF(B27="","",ROW()-1)</f>
      </c>
      <c r="B27" s="5"/>
      <c r="C27" s="2">
        <f>IF(B27="","",IF(C27="",NOW(),C27))</f>
      </c>
    </row>
    <row r="28">
      <c r="A28" s="4">
        <f>IF(B28="","",ROW()-1)</f>
      </c>
      <c r="B28" s="5"/>
      <c r="C28" s="2">
        <f>IF(B28="","",IF(C28="",NOW(),C28))</f>
      </c>
    </row>
    <row r="29">
      <c r="A29" s="4">
        <f>IF(B29="","",ROW()-1)</f>
      </c>
      <c r="B29" s="5"/>
      <c r="C29" s="2">
        <f>IF(B29="","",IF(C29="",NOW(),C29))</f>
      </c>
    </row>
    <row r="30">
      <c r="A30" s="4">
        <f>IF(B30="","",ROW()-1)</f>
      </c>
      <c r="B30" s="5"/>
      <c r="C30" s="2">
        <f>IF(B30="","",IF(C30="",NOW(),C30))</f>
      </c>
    </row>
    <row r="31">
      <c r="A31" s="4">
        <f>IF(B31="","",ROW()-1)</f>
      </c>
      <c r="B31" s="5"/>
      <c r="C31" s="2">
        <f>IF(B31="","",IF(C31="",NOW(),C31))</f>
      </c>
    </row>
    <row r="32">
      <c r="A32" s="4">
        <f>IF(B32="","",ROW()-1)</f>
      </c>
      <c r="B32" s="5"/>
      <c r="C32" s="2">
        <f>IF(B32="","",IF(C32="",NOW(),C32))</f>
      </c>
    </row>
    <row r="33">
      <c r="A33" s="4">
        <f>IF(B33="","",ROW()-1)</f>
      </c>
      <c r="B33" s="5"/>
      <c r="C33" s="2">
        <f>IF(B33="","",IF(C33="",NOW(),C33))</f>
      </c>
    </row>
    <row r="34">
      <c r="A34" s="4">
        <f>IF(B34="","",ROW()-1)</f>
      </c>
      <c r="B34" s="5"/>
      <c r="C34" s="2">
        <f>IF(B34="","",IF(C34="",NOW(),C34))</f>
      </c>
    </row>
    <row r="35">
      <c r="A35" s="4">
        <f>IF(B35="","",ROW()-1)</f>
      </c>
      <c r="B35" s="5"/>
      <c r="C35" s="2">
        <f>IF(B35="","",IF(C35="",NOW(),C35))</f>
      </c>
    </row>
    <row r="36">
      <c r="A36" s="4">
        <f>IF(B36="","",ROW()-1)</f>
      </c>
      <c r="B36" s="5"/>
      <c r="C36" s="2">
        <f>IF(B36="","",IF(C36="",NOW(),C36))</f>
      </c>
    </row>
    <row r="37">
      <c r="A37" s="4">
        <f>IF(B37="","",ROW()-1)</f>
      </c>
      <c r="B37" s="5"/>
      <c r="C37" s="2">
        <f>IF(B37="","",IF(C37="",NOW(),C37))</f>
      </c>
    </row>
    <row r="38">
      <c r="A38" s="4">
        <f>IF(B38="","",ROW()-1)</f>
      </c>
      <c r="B38" s="5"/>
      <c r="C38" s="2">
        <f>IF(B38="","",IF(C38="",NOW(),C38))</f>
      </c>
    </row>
    <row r="39">
      <c r="A39" s="4">
        <f>IF(B39="","",ROW()-1)</f>
      </c>
      <c r="B39" s="5"/>
      <c r="C39" s="2">
        <f>IF(B39="","",IF(C39="",NOW(),C39))</f>
      </c>
    </row>
    <row r="40">
      <c r="A40" s="4">
        <f>IF(B40="","",ROW()-1)</f>
      </c>
      <c r="B40" s="5"/>
      <c r="C40" s="2">
        <f>IF(B40="","",IF(C40="",NOW(),C40))</f>
      </c>
    </row>
    <row r="41">
      <c r="A41" s="4">
        <f>IF(B41="","",ROW()-1)</f>
      </c>
      <c r="B41" s="5"/>
      <c r="C41" s="2">
        <f>IF(B41="","",IF(C41="",NOW(),C41))</f>
      </c>
    </row>
    <row r="42">
      <c r="A42" s="4">
        <f>IF(B42="","",ROW()-1)</f>
      </c>
      <c r="B42" s="5"/>
      <c r="C42" s="2">
        <f>IF(B42="","",IF(C42="",NOW(),C42))</f>
      </c>
    </row>
    <row r="43">
      <c r="A43" s="4">
        <f>IF(B43="","",ROW()-1)</f>
      </c>
      <c r="B43" s="5"/>
      <c r="C43" s="2">
        <f>IF(B43="","",IF(C43="",NOW(),C43))</f>
      </c>
    </row>
    <row r="44">
      <c r="A44" s="4">
        <f>IF(B44="","",ROW()-1)</f>
      </c>
      <c r="B44" s="5"/>
      <c r="C44" s="2">
        <f>IF(B44="","",IF(C44="",NOW(),C44))</f>
      </c>
    </row>
    <row r="45">
      <c r="A45" s="4">
        <f>IF(B45="","",ROW()-1)</f>
      </c>
      <c r="B45" s="5"/>
      <c r="C45" s="2">
        <f>IF(B45="","",IF(C45="",NOW(),C45))</f>
      </c>
    </row>
    <row r="46">
      <c r="A46" s="4">
        <f>IF(B46="","",ROW()-1)</f>
      </c>
      <c r="B46" s="5"/>
      <c r="C46" s="2">
        <f>IF(B46="","",IF(C46="",NOW(),C46))</f>
      </c>
    </row>
    <row r="47">
      <c r="A47" s="4">
        <f>IF(B47="","",ROW()-1)</f>
      </c>
      <c r="B47" s="5"/>
      <c r="C47" s="2">
        <f>IF(B47="","",IF(C47="",NOW(),C47))</f>
      </c>
    </row>
    <row r="48">
      <c r="A48" s="4">
        <f>IF(B48="","",ROW()-1)</f>
      </c>
      <c r="B48" s="5"/>
      <c r="C48" s="2">
        <f>IF(B48="","",IF(C48="",NOW(),C48))</f>
      </c>
    </row>
    <row r="49">
      <c r="A49" s="4">
        <f>IF(B49="","",ROW()-1)</f>
      </c>
      <c r="B49" s="5"/>
      <c r="C49" s="2">
        <f>IF(B49="","",IF(C49="",NOW(),C49))</f>
      </c>
    </row>
    <row r="50">
      <c r="A50" s="4">
        <f>IF(B50="","",ROW()-1)</f>
      </c>
      <c r="B50" s="5"/>
      <c r="C50" s="2">
        <f>IF(B50="","",IF(C50="",NOW(),C50))</f>
      </c>
    </row>
    <row r="51">
      <c r="A51" s="4">
        <f>IF(B51="","",ROW()-1)</f>
      </c>
      <c r="B51" s="5"/>
      <c r="C51" s="2">
        <f>IF(B51="","",IF(C51="",NOW(),C51))</f>
      </c>
    </row>
    <row r="52">
      <c r="A52" s="4">
        <f>IF(B52="","",ROW()-1)</f>
      </c>
      <c r="B52" s="5"/>
      <c r="C52" s="2">
        <f>IF(B52="","",IF(C52="",NOW(),C52))</f>
      </c>
    </row>
    <row r="53">
      <c r="A53" s="4">
        <f>IF(B53="","",ROW()-1)</f>
      </c>
      <c r="B53" s="5"/>
      <c r="C53" s="2">
        <f>IF(B53="","",IF(C53="",NOW(),C53))</f>
      </c>
    </row>
    <row r="54">
      <c r="A54" s="4">
        <f>IF(B54="","",ROW()-1)</f>
      </c>
      <c r="B54" s="5"/>
      <c r="C54" s="2">
        <f>IF(B54="","",IF(C54="",NOW(),C54))</f>
      </c>
    </row>
    <row r="55">
      <c r="A55" s="4">
        <f>IF(B55="","",ROW()-1)</f>
      </c>
      <c r="B55" s="5"/>
      <c r="C55" s="2">
        <f>IF(B55="","",IF(C55="",NOW(),C55))</f>
      </c>
    </row>
    <row r="56">
      <c r="A56" s="4">
        <f>IF(B56="","",ROW()-1)</f>
      </c>
      <c r="B56" s="5"/>
      <c r="C56" s="2">
        <f>IF(B56="","",IF(C56="",NOW(),C56))</f>
      </c>
    </row>
    <row r="57">
      <c r="A57" s="4">
        <f>IF(B57="","",ROW()-1)</f>
      </c>
      <c r="B57" s="5"/>
      <c r="C57" s="2">
        <f>IF(B57="","",IF(C57="",NOW(),C57))</f>
      </c>
    </row>
    <row r="58">
      <c r="A58" s="4">
        <f>IF(B58="","",ROW()-1)</f>
      </c>
      <c r="B58" s="5"/>
      <c r="C58" s="2">
        <f>IF(B58="","",IF(C58="",NOW(),C58))</f>
      </c>
    </row>
    <row r="59">
      <c r="A59" s="4">
        <f>IF(B59="","",ROW()-1)</f>
      </c>
      <c r="B59" s="5"/>
      <c r="C59" s="2">
        <f>IF(B59="","",IF(C59="",NOW(),C59))</f>
      </c>
    </row>
    <row r="60">
      <c r="A60" s="4">
        <f>IF(B60="","",ROW()-1)</f>
      </c>
      <c r="B60" s="5"/>
      <c r="C60" s="2">
        <f>IF(B60="","",IF(C60="",NOW(),C60))</f>
      </c>
    </row>
    <row r="61">
      <c r="A61" s="4">
        <f>IF(B61="","",ROW()-1)</f>
      </c>
      <c r="B61" s="5"/>
      <c r="C61" s="2">
        <f>IF(B61="","",IF(C61="",NOW(),C61))</f>
      </c>
    </row>
    <row r="62">
      <c r="A62" s="4">
        <f>IF(B62="","",ROW()-1)</f>
      </c>
      <c r="B62" s="5"/>
      <c r="C62" s="2">
        <f>IF(B62="","",IF(C62="",NOW(),C62))</f>
      </c>
    </row>
    <row r="63">
      <c r="A63" s="4">
        <f>IF(B63="","",ROW()-1)</f>
      </c>
      <c r="B63" s="5"/>
      <c r="C63" s="2">
        <f>IF(B63="","",IF(C63="",NOW(),C63))</f>
      </c>
    </row>
    <row r="64">
      <c r="A64" s="4">
        <f>IF(B64="","",ROW()-1)</f>
      </c>
      <c r="B64" s="5"/>
      <c r="C64" s="2">
        <f>IF(B64="","",IF(C64="",NOW(),C64))</f>
      </c>
    </row>
    <row r="65">
      <c r="A65" s="4">
        <f>IF(B65="","",ROW()-1)</f>
      </c>
      <c r="B65" s="5"/>
      <c r="C65" s="2">
        <f>IF(B65="","",IF(C65="",NOW(),C65))</f>
      </c>
    </row>
    <row r="66">
      <c r="A66" s="4">
        <f>IF(B66="","",ROW()-1)</f>
      </c>
      <c r="B66" s="5"/>
      <c r="C66" s="2">
        <f>IF(B66="","",IF(C66="",NOW(),C66))</f>
      </c>
    </row>
    <row r="67">
      <c r="A67" s="4">
        <f>IF(B67="","",ROW()-1)</f>
      </c>
      <c r="B67" s="5"/>
      <c r="C67" s="2">
        <f>IF(B67="","",IF(C67="",NOW(),C67))</f>
      </c>
    </row>
    <row r="68">
      <c r="A68" s="4">
        <f>IF(B68="","",ROW()-1)</f>
      </c>
      <c r="B68" s="5"/>
      <c r="C68" s="2">
        <f>IF(B68="","",IF(C68="",NOW(),C68))</f>
      </c>
    </row>
    <row r="69">
      <c r="A69" s="4">
        <f>IF(B69="","",ROW()-1)</f>
      </c>
      <c r="B69" s="5"/>
      <c r="C69" s="2">
        <f>IF(B69="","",IF(C69="",NOW(),C69))</f>
      </c>
    </row>
    <row r="70">
      <c r="A70" s="4">
        <f>IF(B70="","",ROW()-1)</f>
      </c>
      <c r="B70" s="5"/>
      <c r="C70" s="2">
        <f>IF(B70="","",IF(C70="",NOW(),C70))</f>
      </c>
    </row>
    <row r="71">
      <c r="A71" s="4">
        <f>IF(B71="","",ROW()-1)</f>
      </c>
      <c r="B71" s="5"/>
      <c r="C71" s="2">
        <f>IF(B71="","",IF(C71="",NOW(),C71))</f>
      </c>
    </row>
    <row r="72">
      <c r="A72" s="4">
        <f>IF(B72="","",ROW()-1)</f>
      </c>
      <c r="B72" s="5"/>
      <c r="C72" s="2">
        <f>IF(B72="","",IF(C72="",NOW(),C72))</f>
      </c>
    </row>
    <row r="73">
      <c r="A73" s="4">
        <f>IF(B73="","",ROW()-1)</f>
      </c>
      <c r="B73" s="5"/>
      <c r="C73" s="2">
        <f>IF(B73="","",IF(C73="",NOW(),C73))</f>
      </c>
    </row>
    <row r="74">
      <c r="A74" s="4">
        <f>IF(B74="","",ROW()-1)</f>
      </c>
      <c r="B74" s="5"/>
      <c r="C74" s="2">
        <f>IF(B74="","",IF(C74="",NOW(),C74))</f>
      </c>
    </row>
    <row r="75">
      <c r="A75" s="4">
        <f>IF(B75="","",ROW()-1)</f>
      </c>
      <c r="B75" s="5"/>
      <c r="C75" s="2">
        <f>IF(B75="","",IF(C75="",NOW(),C75))</f>
      </c>
    </row>
    <row r="76">
      <c r="A76" s="4">
        <f>IF(B76="","",ROW()-1)</f>
      </c>
      <c r="B76" s="5"/>
      <c r="C76" s="2">
        <f>IF(B76="","",IF(C76="",NOW(),C76))</f>
      </c>
    </row>
    <row r="77">
      <c r="A77" s="4">
        <f>IF(B77="","",ROW()-1)</f>
      </c>
      <c r="B77" s="5"/>
      <c r="C77" s="2">
        <f>IF(B77="","",IF(C77="",NOW(),C77))</f>
      </c>
    </row>
    <row r="78">
      <c r="A78" s="4">
        <f>IF(B78="","",ROW()-1)</f>
      </c>
      <c r="B78" s="5"/>
      <c r="C78" s="2">
        <f>IF(B78="","",IF(C78="",NOW(),C78))</f>
      </c>
    </row>
    <row r="79">
      <c r="A79" s="4">
        <f>IF(B79="","",ROW()-1)</f>
      </c>
      <c r="B79" s="5"/>
      <c r="C79" s="2">
        <f>IF(B79="","",IF(C79="",NOW(),C79))</f>
      </c>
    </row>
    <row r="80">
      <c r="A80" s="4">
        <f>IF(B80="","",ROW()-1)</f>
      </c>
      <c r="B80" s="5"/>
      <c r="C80" s="2">
        <f>IF(B80="","",IF(C80="",NOW(),C80))</f>
      </c>
    </row>
    <row r="81">
      <c r="A81" s="4">
        <f>IF(B81="","",ROW()-1)</f>
      </c>
      <c r="B81" s="5"/>
      <c r="C81" s="2">
        <f>IF(B81="","",IF(C81="",NOW(),C81))</f>
      </c>
    </row>
    <row r="82">
      <c r="A82" s="4">
        <f>IF(B82="","",ROW()-1)</f>
      </c>
      <c r="B82" s="5"/>
      <c r="C82" s="2">
        <f>IF(B82="","",IF(C82="",NOW(),C82))</f>
      </c>
    </row>
    <row r="83">
      <c r="A83" s="4">
        <f>IF(B83="","",ROW()-1)</f>
      </c>
      <c r="B83" s="5"/>
      <c r="C83" s="2">
        <f>IF(B83="","",IF(C83="",NOW(),C83))</f>
      </c>
    </row>
    <row r="84">
      <c r="A84" s="4">
        <f>IF(B84="","",ROW()-1)</f>
      </c>
      <c r="B84" s="5"/>
      <c r="C84" s="2">
        <f>IF(B84="","",IF(C84="",NOW(),C84))</f>
      </c>
    </row>
    <row r="85">
      <c r="A85" s="4">
        <f>IF(B85="","",ROW()-1)</f>
      </c>
      <c r="B85" s="5"/>
      <c r="C85" s="2">
        <f>IF(B85="","",IF(C85="",NOW(),C85))</f>
      </c>
    </row>
    <row r="86">
      <c r="A86" s="4">
        <f>IF(B86="","",ROW()-1)</f>
      </c>
      <c r="B86" s="5"/>
      <c r="C86" s="2">
        <f>IF(B86="","",IF(C86="",NOW(),C86))</f>
      </c>
    </row>
    <row r="87">
      <c r="A87" s="4">
        <f>IF(B87="","",ROW()-1)</f>
      </c>
      <c r="B87" s="5"/>
      <c r="C87" s="2">
        <f>IF(B87="","",IF(C87="",NOW(),C87))</f>
      </c>
    </row>
    <row r="88">
      <c r="A88" s="4">
        <f>IF(B88="","",ROW()-1)</f>
      </c>
      <c r="B88" s="5"/>
      <c r="C88" s="2">
        <f>IF(B88="","",IF(C88="",NOW(),C88))</f>
      </c>
    </row>
    <row r="89">
      <c r="A89" s="4">
        <f>IF(B89="","",ROW()-1)</f>
      </c>
      <c r="B89" s="5"/>
      <c r="C89" s="2">
        <f>IF(B89="","",IF(C89="",NOW(),C89))</f>
      </c>
    </row>
    <row r="90">
      <c r="A90" s="4">
        <f>IF(B90="","",ROW()-1)</f>
      </c>
      <c r="B90" s="5"/>
      <c r="C90" s="2">
        <f>IF(B90="","",IF(C90="",NOW(),C90))</f>
      </c>
    </row>
    <row r="91">
      <c r="A91" s="4">
        <f>IF(B91="","",ROW()-1)</f>
      </c>
      <c r="B91" s="5"/>
      <c r="C91" s="2">
        <f>IF(B91="","",IF(C91="",NOW(),C91))</f>
      </c>
    </row>
    <row r="92">
      <c r="A92" s="4">
        <f>IF(B92="","",ROW()-1)</f>
      </c>
      <c r="B92" s="5"/>
      <c r="C92" s="2">
        <f>IF(B92="","",IF(C92="",NOW(),C92))</f>
      </c>
    </row>
    <row r="93">
      <c r="A93" s="4">
        <f>IF(B93="","",ROW()-1)</f>
      </c>
      <c r="B93" s="5"/>
      <c r="C93" s="2">
        <f>IF(B93="","",IF(C93="",NOW(),C93))</f>
      </c>
    </row>
    <row r="94">
      <c r="A94" s="4">
        <f>IF(B94="","",ROW()-1)</f>
      </c>
      <c r="B94" s="5"/>
      <c r="C94" s="2">
        <f>IF(B94="","",IF(C94="",NOW(),C94))</f>
      </c>
    </row>
    <row r="95">
      <c r="A95" s="4">
        <f>IF(B95="","",ROW()-1)</f>
      </c>
      <c r="B95" s="5"/>
      <c r="C95" s="2">
        <f>IF(B95="","",IF(C95="",NOW(),C95))</f>
      </c>
    </row>
    <row r="96">
      <c r="A96" s="4">
        <f>IF(B96="","",ROW()-1)</f>
      </c>
      <c r="B96" s="5"/>
      <c r="C96" s="2">
        <f>IF(B96="","",IF(C96="",NOW(),C96))</f>
      </c>
    </row>
    <row r="97">
      <c r="A97" s="4">
        <f>IF(B97="","",ROW()-1)</f>
      </c>
      <c r="B97" s="5"/>
      <c r="C97" s="2">
        <f>IF(B97="","",IF(C97="",NOW(),C97))</f>
      </c>
    </row>
    <row r="98">
      <c r="A98" s="4">
        <f>IF(B98="","",ROW()-1)</f>
      </c>
      <c r="B98" s="5"/>
      <c r="C98" s="2">
        <f>IF(B98="","",IF(C98="",NOW(),C98))</f>
      </c>
    </row>
    <row r="99">
      <c r="A99" s="4">
        <f>IF(B99="","",ROW()-1)</f>
      </c>
      <c r="B99" s="5"/>
      <c r="C99" s="2">
        <f>IF(B99="","",IF(C99="",NOW(),C99))</f>
      </c>
    </row>
    <row r="100">
      <c r="A100" s="4">
        <f>IF(B100="","",ROW()-1)</f>
      </c>
      <c r="B100" s="5"/>
      <c r="C100" s="2">
        <f>IF(B100="","",IF(C100="",NOW(),C100))</f>
      </c>
    </row>
    <row r="101">
      <c r="A101" s="4">
        <f>IF(B101="","",ROW()-1)</f>
      </c>
      <c r="B101" s="5"/>
      <c r="C101" s="2">
        <f>IF(B101="","",IF(C101="",NOW(),C101))</f>
      </c>
    </row>
    <row r="102">
      <c r="A102" s="4">
        <f>IF(B102="","",ROW()-1)</f>
      </c>
      <c r="B102" s="5"/>
      <c r="C102" s="2">
        <f>IF(B102="","",IF(C102="",NOW(),C102))</f>
      </c>
    </row>
    <row r="103">
      <c r="A103" s="4">
        <f>IF(B103="","",ROW()-1)</f>
      </c>
      <c r="B103" s="5"/>
      <c r="C103" s="2">
        <f>IF(B103="","",IF(C103="",NOW(),C103))</f>
      </c>
    </row>
    <row r="104">
      <c r="A104" s="4">
        <f>IF(B104="","",ROW()-1)</f>
      </c>
      <c r="B104" s="5"/>
      <c r="C104" s="2">
        <f>IF(B104="","",IF(C104="",NOW(),C104))</f>
      </c>
    </row>
    <row r="105">
      <c r="A105" s="4">
        <f>IF(B105="","",ROW()-1)</f>
      </c>
      <c r="B105" s="5"/>
      <c r="C105" s="2">
        <f>IF(B105="","",IF(C105="",NOW(),C105))</f>
      </c>
    </row>
    <row r="106">
      <c r="A106" s="4">
        <f>IF(B106="","",ROW()-1)</f>
      </c>
      <c r="B106" s="5"/>
      <c r="C106" s="2">
        <f>IF(B106="","",IF(C106="",NOW(),C106))</f>
      </c>
    </row>
    <row r="107">
      <c r="A107" s="4">
        <f>IF(B107="","",ROW()-1)</f>
      </c>
      <c r="B107" s="5"/>
      <c r="C107" s="2">
        <f>IF(B107="","",IF(C107="",NOW(),C107))</f>
      </c>
    </row>
    <row r="108">
      <c r="A108" s="4">
        <f>IF(B108="","",ROW()-1)</f>
      </c>
      <c r="B108" s="5"/>
      <c r="C108" s="2">
        <f>IF(B108="","",IF(C108="",NOW(),C108))</f>
      </c>
    </row>
    <row r="109">
      <c r="A109" s="4">
        <f>IF(B109="","",ROW()-1)</f>
      </c>
      <c r="B109" s="5"/>
      <c r="C109" s="2">
        <f>IF(B109="","",IF(C109="",NOW(),C109))</f>
      </c>
    </row>
    <row r="110">
      <c r="A110" s="4">
        <f>IF(B110="","",ROW()-1)</f>
      </c>
      <c r="B110" s="5"/>
      <c r="C110" s="2">
        <f>IF(B110="","",IF(C110="",NOW(),C110))</f>
      </c>
    </row>
    <row r="111">
      <c r="A111" s="4">
        <f>IF(B111="","",ROW()-1)</f>
      </c>
      <c r="B111" s="5"/>
      <c r="C111" s="2">
        <f>IF(B111="","",IF(C111="",NOW(),C111))</f>
      </c>
    </row>
    <row r="112">
      <c r="A112" s="4">
        <f>IF(B112="","",ROW()-1)</f>
      </c>
      <c r="B112" s="5"/>
      <c r="C112" s="2">
        <f>IF(B112="","",IF(C112="",NOW(),C112))</f>
      </c>
    </row>
    <row r="113">
      <c r="A113" s="4">
        <f>IF(B113="","",ROW()-1)</f>
      </c>
      <c r="B113" s="5"/>
      <c r="C113" s="2">
        <f>IF(B113="","",IF(C113="",NOW(),C113))</f>
      </c>
    </row>
    <row r="114">
      <c r="A114" s="4">
        <f>IF(B114="","",ROW()-1)</f>
      </c>
      <c r="B114" s="5"/>
      <c r="C114" s="2">
        <f>IF(B114="","",IF(C114="",NOW(),C114))</f>
      </c>
    </row>
    <row r="115">
      <c r="A115" s="4">
        <f>IF(B115="","",ROW()-1)</f>
      </c>
      <c r="B115" s="5"/>
      <c r="C115" s="2">
        <f>IF(B115="","",IF(C115="",NOW(),C115))</f>
      </c>
    </row>
    <row r="116">
      <c r="A116" s="4">
        <f>IF(B116="","",ROW()-1)</f>
      </c>
      <c r="B116" s="5"/>
      <c r="C116" s="2">
        <f>IF(B116="","",IF(C116="",NOW(),C116))</f>
      </c>
    </row>
    <row r="117">
      <c r="A117" s="4">
        <f>IF(B117="","",ROW()-1)</f>
      </c>
      <c r="B117" s="5"/>
      <c r="C117" s="2">
        <f>IF(B117="","",IF(C117="",NOW(),C117))</f>
      </c>
    </row>
    <row r="118">
      <c r="A118" s="4">
        <f>IF(B118="","",ROW()-1)</f>
      </c>
      <c r="B118" s="5"/>
      <c r="C118" s="2">
        <f>IF(B118="","",IF(C118="",NOW(),C118))</f>
      </c>
    </row>
    <row r="119">
      <c r="A119" s="4">
        <f>IF(B119="","",ROW()-1)</f>
      </c>
      <c r="B119" s="5"/>
      <c r="C119" s="2">
        <f>IF(B119="","",IF(C119="",NOW(),C119))</f>
      </c>
    </row>
    <row r="120">
      <c r="A120" s="4">
        <f>IF(B120="","",ROW()-1)</f>
      </c>
      <c r="B120" s="5"/>
      <c r="C120" s="2">
        <f>IF(B120="","",IF(C120="",NOW(),C120))</f>
      </c>
    </row>
    <row r="121">
      <c r="A121" s="4">
        <f>IF(B121="","",ROW()-1)</f>
      </c>
      <c r="B121" s="5"/>
      <c r="C121" s="2">
        <f>IF(B121="","",IF(C121="",NOW(),C121))</f>
      </c>
    </row>
    <row r="122">
      <c r="A122" s="4">
        <f>IF(B122="","",ROW()-1)</f>
      </c>
      <c r="B122" s="5"/>
      <c r="C122" s="2">
        <f>IF(B122="","",IF(C122="",NOW(),C122))</f>
      </c>
    </row>
    <row r="123">
      <c r="A123" s="4">
        <f>IF(B123="","",ROW()-1)</f>
      </c>
      <c r="B123" s="5"/>
      <c r="C123" s="2">
        <f>IF(B123="","",IF(C123="",NOW(),C123))</f>
      </c>
    </row>
    <row r="124">
      <c r="A124" s="4">
        <f>IF(B124="","",ROW()-1)</f>
      </c>
      <c r="B124" s="5"/>
      <c r="C124" s="2">
        <f>IF(B124="","",IF(C124="",NOW(),C124))</f>
      </c>
    </row>
    <row r="125">
      <c r="A125" s="4">
        <f>IF(B125="","",ROW()-1)</f>
      </c>
      <c r="B125" s="5"/>
      <c r="C125" s="2">
        <f>IF(B125="","",IF(C125="",NOW(),C125))</f>
      </c>
    </row>
    <row r="126">
      <c r="A126" s="4">
        <f>IF(B126="","",ROW()-1)</f>
      </c>
      <c r="B126" s="5"/>
      <c r="C126" s="2">
        <f>IF(B126="","",IF(C126="",NOW(),C126))</f>
      </c>
    </row>
    <row r="127">
      <c r="A127" s="4">
        <f>IF(B127="","",ROW()-1)</f>
      </c>
      <c r="B127" s="5"/>
      <c r="C127" s="2">
        <f>IF(B127="","",IF(C127="",NOW(),C127))</f>
      </c>
    </row>
    <row r="128">
      <c r="A128" s="4">
        <f>IF(B128="","",ROW()-1)</f>
      </c>
      <c r="B128" s="5"/>
      <c r="C128" s="2">
        <f>IF(B128="","",IF(C128="",NOW(),C128))</f>
      </c>
    </row>
    <row r="129">
      <c r="A129" s="4">
        <f>IF(B129="","",ROW()-1)</f>
      </c>
      <c r="B129" s="5"/>
      <c r="C129" s="2">
        <f>IF(B129="","",IF(C129="",NOW(),C129))</f>
      </c>
    </row>
    <row r="130">
      <c r="A130" s="4">
        <f>IF(B130="","",ROW()-1)</f>
      </c>
      <c r="B130" s="5"/>
      <c r="C130" s="2">
        <f>IF(B130="","",IF(C130="",NOW(),C130))</f>
      </c>
    </row>
    <row r="131">
      <c r="A131" s="4">
        <f>IF(B131="","",ROW()-1)</f>
      </c>
      <c r="B131" s="5"/>
      <c r="C131" s="2">
        <f>IF(B131="","",IF(C131="",NOW(),C131))</f>
      </c>
    </row>
    <row r="132">
      <c r="A132" s="4">
        <f>IF(B132="","",ROW()-1)</f>
      </c>
      <c r="B132" s="5"/>
      <c r="C132" s="2">
        <f>IF(B132="","",IF(C132="",NOW(),C132))</f>
      </c>
    </row>
    <row r="133">
      <c r="A133" s="4">
        <f>IF(B133="","",ROW()-1)</f>
      </c>
      <c r="B133" s="5"/>
      <c r="C133" s="2">
        <f>IF(B133="","",IF(C133="",NOW(),C133))</f>
      </c>
    </row>
    <row r="134">
      <c r="A134" s="4">
        <f>IF(B134="","",ROW()-1)</f>
      </c>
      <c r="B134" s="5"/>
      <c r="C134" s="2">
        <f>IF(B134="","",IF(C134="",NOW(),C134))</f>
      </c>
    </row>
    <row r="135">
      <c r="A135" s="4">
        <f>IF(B135="","",ROW()-1)</f>
      </c>
      <c r="B135" s="5"/>
      <c r="C135" s="2">
        <f>IF(B135="","",IF(C135="",NOW(),C135))</f>
      </c>
    </row>
    <row r="136">
      <c r="A136" s="4">
        <f>IF(B136="","",ROW()-1)</f>
      </c>
      <c r="B136" s="5"/>
      <c r="C136" s="2">
        <f>IF(B136="","",IF(C136="",NOW(),C136))</f>
      </c>
    </row>
    <row r="137">
      <c r="A137" s="4">
        <f>IF(B137="","",ROW()-1)</f>
      </c>
      <c r="B137" s="5"/>
      <c r="C137" s="2">
        <f>IF(B137="","",IF(C137="",NOW(),C137))</f>
      </c>
    </row>
    <row r="138">
      <c r="A138" s="4">
        <f>IF(B138="","",ROW()-1)</f>
      </c>
      <c r="B138" s="5"/>
      <c r="C138" s="2">
        <f>IF(B138="","",IF(C138="",NOW(),C138))</f>
      </c>
    </row>
    <row r="139">
      <c r="A139" s="4">
        <f>IF(B139="","",ROW()-1)</f>
      </c>
      <c r="B139" s="5"/>
      <c r="C139" s="2">
        <f>IF(B139="","",IF(C139="",NOW(),C139))</f>
      </c>
    </row>
    <row r="140">
      <c r="A140" s="4">
        <f>IF(B140="","",ROW()-1)</f>
      </c>
      <c r="B140" s="5"/>
      <c r="C140" s="2">
        <f>IF(B140="","",IF(C140="",NOW(),C140))</f>
      </c>
    </row>
    <row r="141">
      <c r="A141" s="4">
        <f>IF(B141="","",ROW()-1)</f>
      </c>
      <c r="B141" s="5"/>
      <c r="C141" s="2">
        <f>IF(B141="","",IF(C141="",NOW(),C141))</f>
      </c>
    </row>
    <row r="142">
      <c r="A142" s="4">
        <f>IF(B142="","",ROW()-1)</f>
      </c>
      <c r="B142" s="5"/>
      <c r="C142" s="2">
        <f>IF(B142="","",IF(C142="",NOW(),C142))</f>
      </c>
    </row>
    <row r="143">
      <c r="A143" s="4">
        <f>IF(B143="","",ROW()-1)</f>
      </c>
      <c r="B143" s="5"/>
      <c r="C143" s="2">
        <f>IF(B143="","",IF(C143="",NOW(),C143))</f>
      </c>
    </row>
    <row r="144">
      <c r="A144" s="4">
        <f>IF(B144="","",ROW()-1)</f>
      </c>
      <c r="B144" s="5"/>
      <c r="C144" s="2">
        <f>IF(B144="","",IF(C144="",NOW(),C144))</f>
      </c>
    </row>
    <row r="145">
      <c r="A145" s="4">
        <f>IF(B145="","",ROW()-1)</f>
      </c>
      <c r="B145" s="5"/>
      <c r="C145" s="2">
        <f>IF(B145="","",IF(C145="",NOW(),C145))</f>
      </c>
    </row>
    <row r="146">
      <c r="A146" s="4">
        <f>IF(B146="","",ROW()-1)</f>
      </c>
      <c r="B146" s="5"/>
      <c r="C146" s="2">
        <f>IF(B146="","",IF(C146="",NOW(),C146))</f>
      </c>
    </row>
    <row r="147">
      <c r="A147" s="4">
        <f>IF(B147="","",ROW()-1)</f>
      </c>
      <c r="B147" s="5"/>
      <c r="C147" s="2">
        <f>IF(B147="","",IF(C147="",NOW(),C147))</f>
      </c>
    </row>
    <row r="148">
      <c r="A148" s="4">
        <f>IF(B148="","",ROW()-1)</f>
      </c>
      <c r="B148" s="5"/>
      <c r="C148" s="2">
        <f>IF(B148="","",IF(C148="",NOW(),C148))</f>
      </c>
    </row>
    <row r="149">
      <c r="A149" s="4">
        <f>IF(B149="","",ROW()-1)</f>
      </c>
      <c r="B149" s="5"/>
      <c r="C149" s="2">
        <f>IF(B149="","",IF(C149="",NOW(),C149))</f>
      </c>
    </row>
    <row r="150">
      <c r="A150" s="4">
        <f>IF(B150="","",ROW()-1)</f>
      </c>
      <c r="B150" s="5"/>
      <c r="C150" s="2">
        <f>IF(B150="","",IF(C150="",NOW(),C150))</f>
      </c>
    </row>
    <row r="151">
      <c r="A151" s="4">
        <f>IF(B151="","",ROW()-1)</f>
      </c>
      <c r="B151" s="5"/>
      <c r="C151" s="2">
        <f>IF(B151="","",IF(C151="",NOW(),C151))</f>
      </c>
    </row>
    <row r="152">
      <c r="A152" s="4">
        <f>IF(B152="","",ROW()-1)</f>
      </c>
      <c r="B152" s="5"/>
      <c r="C152" s="2">
        <f>IF(B152="","",IF(C152="",NOW(),C152))</f>
      </c>
    </row>
    <row r="153">
      <c r="A153" s="4">
        <f>IF(B153="","",ROW()-1)</f>
      </c>
      <c r="B153" s="5"/>
      <c r="C153" s="2">
        <f>IF(B153="","",IF(C153="",NOW(),C153))</f>
      </c>
    </row>
    <row r="154">
      <c r="A154" s="4">
        <f>IF(B154="","",ROW()-1)</f>
      </c>
      <c r="B154" s="5"/>
      <c r="C154" s="2">
        <f>IF(B154="","",IF(C154="",NOW(),C154))</f>
      </c>
    </row>
    <row r="155">
      <c r="A155" s="4">
        <f>IF(B155="","",ROW()-1)</f>
      </c>
      <c r="B155" s="5"/>
      <c r="C155" s="2">
        <f>IF(B155="","",IF(C155="",NOW(),C155))</f>
      </c>
    </row>
    <row r="156">
      <c r="A156" s="4">
        <f>IF(B156="","",ROW()-1)</f>
      </c>
      <c r="B156" s="5"/>
      <c r="C156" s="2">
        <f>IF(B156="","",IF(C156="",NOW(),C156))</f>
      </c>
    </row>
    <row r="157">
      <c r="A157" s="4">
        <f>IF(B157="","",ROW()-1)</f>
      </c>
      <c r="B157" s="5"/>
      <c r="C157" s="2">
        <f>IF(B157="","",IF(C157="",NOW(),C157))</f>
      </c>
    </row>
    <row r="158">
      <c r="A158" s="4">
        <f>IF(B158="","",ROW()-1)</f>
      </c>
      <c r="B158" s="5"/>
      <c r="C158" s="2">
        <f>IF(B158="","",IF(C158="",NOW(),C158))</f>
      </c>
    </row>
    <row r="159">
      <c r="A159" s="4">
        <f>IF(B159="","",ROW()-1)</f>
      </c>
      <c r="B159" s="5"/>
      <c r="C159" s="2">
        <f>IF(B159="","",IF(C159="",NOW(),C159))</f>
      </c>
    </row>
    <row r="160">
      <c r="A160" s="4">
        <f>IF(B160="","",ROW()-1)</f>
      </c>
      <c r="B160" s="5"/>
      <c r="C160" s="2">
        <f>IF(B160="","",IF(C160="",NOW(),C160))</f>
      </c>
    </row>
    <row r="161">
      <c r="A161" s="4">
        <f>IF(B161="","",ROW()-1)</f>
      </c>
      <c r="B161" s="5"/>
      <c r="C161" s="2">
        <f>IF(B161="","",IF(C161="",NOW(),C161))</f>
      </c>
    </row>
    <row r="162">
      <c r="A162" s="4">
        <f>IF(B162="","",ROW()-1)</f>
      </c>
      <c r="B162" s="5"/>
      <c r="C162" s="2">
        <f>IF(B162="","",IF(C162="",NOW(),C162))</f>
      </c>
    </row>
    <row r="163">
      <c r="A163" s="4">
        <f>IF(B163="","",ROW()-1)</f>
      </c>
      <c r="B163" s="5"/>
      <c r="C163" s="2">
        <f>IF(B163="","",IF(C163="",NOW(),C163))</f>
      </c>
    </row>
    <row r="164">
      <c r="A164" s="4">
        <f>IF(B164="","",ROW()-1)</f>
      </c>
      <c r="B164" s="5"/>
      <c r="C164" s="2">
        <f>IF(B164="","",IF(C164="",NOW(),C164))</f>
      </c>
    </row>
    <row r="165">
      <c r="A165" s="4">
        <f>IF(B165="","",ROW()-1)</f>
      </c>
      <c r="B165" s="5"/>
      <c r="C165" s="2">
        <f>IF(B165="","",IF(C165="",NOW(),C165))</f>
      </c>
    </row>
    <row r="166">
      <c r="A166" s="4">
        <f>IF(B166="","",ROW()-1)</f>
      </c>
      <c r="B166" s="5"/>
      <c r="C166" s="2">
        <f>IF(B166="","",IF(C166="",NOW(),C166))</f>
      </c>
    </row>
    <row r="167">
      <c r="A167" s="4">
        <f>IF(B167="","",ROW()-1)</f>
      </c>
      <c r="B167" s="5"/>
      <c r="C167" s="2">
        <f>IF(B167="","",IF(C167="",NOW(),C167))</f>
      </c>
    </row>
    <row r="168">
      <c r="A168" s="4">
        <f>IF(B168="","",ROW()-1)</f>
      </c>
      <c r="B168" s="5"/>
      <c r="C168" s="2">
        <f>IF(B168="","",IF(C168="",NOW(),C168))</f>
      </c>
    </row>
    <row r="169">
      <c r="A169" s="4">
        <f>IF(B169="","",ROW()-1)</f>
      </c>
      <c r="B169" s="5"/>
      <c r="C169" s="2">
        <f>IF(B169="","",IF(C169="",NOW(),C169))</f>
      </c>
    </row>
    <row r="170">
      <c r="A170" s="4">
        <f>IF(B170="","",ROW()-1)</f>
      </c>
      <c r="B170" s="5"/>
      <c r="C170" s="2">
        <f>IF(B170="","",IF(C170="",NOW(),C170))</f>
      </c>
    </row>
    <row r="171">
      <c r="A171" s="4">
        <f>IF(B171="","",ROW()-1)</f>
      </c>
      <c r="B171" s="5"/>
      <c r="C171" s="2">
        <f>IF(B171="","",IF(C171="",NOW(),C171))</f>
      </c>
    </row>
    <row r="172">
      <c r="A172" s="4">
        <f>IF(B172="","",ROW()-1)</f>
      </c>
      <c r="B172" s="5"/>
      <c r="C172" s="2">
        <f>IF(B172="","",IF(C172="",NOW(),C172))</f>
      </c>
    </row>
    <row r="173">
      <c r="A173" s="4">
        <f>IF(B173="","",ROW()-1)</f>
      </c>
      <c r="B173" s="5"/>
      <c r="C173" s="2">
        <f>IF(B173="","",IF(C173="",NOW(),C173))</f>
      </c>
    </row>
    <row r="174">
      <c r="A174" s="4">
        <f>IF(B174="","",ROW()-1)</f>
      </c>
      <c r="B174" s="5"/>
      <c r="C174" s="2">
        <f>IF(B174="","",IF(C174="",NOW(),C174))</f>
      </c>
    </row>
    <row r="175">
      <c r="A175" s="4">
        <f>IF(B175="","",ROW()-1)</f>
      </c>
      <c r="B175" s="5"/>
      <c r="C175" s="2">
        <f>IF(B175="","",IF(C175="",NOW(),C175))</f>
      </c>
    </row>
    <row r="176">
      <c r="A176" s="4">
        <f>IF(B176="","",ROW()-1)</f>
      </c>
      <c r="B176" s="5"/>
      <c r="C176" s="2">
        <f>IF(B176="","",IF(C176="",NOW(),C176))</f>
      </c>
    </row>
    <row r="177">
      <c r="A177" s="4">
        <f>IF(B177="","",ROW()-1)</f>
      </c>
      <c r="B177" s="5"/>
      <c r="C177" s="2">
        <f>IF(B177="","",IF(C177="",NOW(),C177))</f>
      </c>
    </row>
    <row r="178">
      <c r="A178" s="4">
        <f>IF(B178="","",ROW()-1)</f>
      </c>
      <c r="B178" s="5"/>
      <c r="C178" s="2">
        <f>IF(B178="","",IF(C178="",NOW(),C178))</f>
      </c>
    </row>
    <row r="179">
      <c r="A179" s="4">
        <f>IF(B179="","",ROW()-1)</f>
      </c>
      <c r="B179" s="5"/>
      <c r="C179" s="2">
        <f>IF(B179="","",IF(C179="",NOW(),C179))</f>
      </c>
    </row>
    <row r="180">
      <c r="A180" s="4">
        <f>IF(B180="","",ROW()-1)</f>
      </c>
      <c r="B180" s="5"/>
      <c r="C180" s="2">
        <f>IF(B180="","",IF(C180="",NOW(),C180))</f>
      </c>
    </row>
    <row r="181">
      <c r="A181" s="4">
        <f>IF(B181="","",ROW()-1)</f>
      </c>
      <c r="B181" s="5"/>
      <c r="C181" s="2">
        <f>IF(B181="","",IF(C181="",NOW(),C181))</f>
      </c>
    </row>
    <row r="182">
      <c r="A182" s="4">
        <f>IF(B182="","",ROW()-1)</f>
      </c>
      <c r="B182" s="5"/>
      <c r="C182" s="2">
        <f>IF(B182="","",IF(C182="",NOW(),C182))</f>
      </c>
    </row>
    <row r="183">
      <c r="A183" s="4">
        <f>IF(B183="","",ROW()-1)</f>
      </c>
      <c r="B183" s="5"/>
      <c r="C183" s="2">
        <f>IF(B183="","",IF(C183="",NOW(),C183))</f>
      </c>
    </row>
    <row r="184">
      <c r="A184" s="4">
        <f>IF(B184="","",ROW()-1)</f>
      </c>
      <c r="B184" s="5"/>
      <c r="C184" s="2">
        <f>IF(B184="","",IF(C184="",NOW(),C184))</f>
      </c>
    </row>
    <row r="185">
      <c r="A185" s="4">
        <f>IF(B185="","",ROW()-1)</f>
      </c>
      <c r="B185" s="5"/>
      <c r="C185" s="2">
        <f>IF(B185="","",IF(C185="",NOW(),C185))</f>
      </c>
    </row>
    <row r="186">
      <c r="A186" s="4">
        <f>IF(B186="","",ROW()-1)</f>
      </c>
      <c r="B186" s="5"/>
      <c r="C186" s="2">
        <f>IF(B186="","",IF(C186="",NOW(),C186))</f>
      </c>
    </row>
    <row r="187">
      <c r="A187" s="4">
        <f>IF(B187="","",ROW()-1)</f>
      </c>
      <c r="B187" s="5"/>
      <c r="C187" s="2">
        <f>IF(B187="","",IF(C187="",NOW(),C187))</f>
      </c>
    </row>
    <row r="188">
      <c r="A188" s="4">
        <f>IF(B188="","",ROW()-1)</f>
      </c>
      <c r="B188" s="5"/>
      <c r="C188" s="2">
        <f>IF(B188="","",IF(C188="",NOW(),C188))</f>
      </c>
    </row>
    <row r="189">
      <c r="A189" s="4">
        <f>IF(B189="","",ROW()-1)</f>
      </c>
      <c r="B189" s="5"/>
      <c r="C189" s="2">
        <f>IF(B189="","",IF(C189="",NOW(),C189))</f>
      </c>
    </row>
    <row r="190">
      <c r="A190" s="4">
        <f>IF(B190="","",ROW()-1)</f>
      </c>
      <c r="B190" s="5"/>
      <c r="C190" s="2">
        <f>IF(B190="","",IF(C190="",NOW(),C190))</f>
      </c>
    </row>
    <row r="191">
      <c r="A191" s="4">
        <f>IF(B191="","",ROW()-1)</f>
      </c>
      <c r="B191" s="5"/>
      <c r="C191" s="2">
        <f>IF(B191="","",IF(C191="",NOW(),C191))</f>
      </c>
    </row>
    <row r="192">
      <c r="A192" s="4">
        <f>IF(B192="","",ROW()-1)</f>
      </c>
      <c r="B192" s="5"/>
      <c r="C192" s="2">
        <f>IF(B192="","",IF(C192="",NOW(),C192))</f>
      </c>
    </row>
    <row r="193">
      <c r="A193" s="4">
        <f>IF(B193="","",ROW()-1)</f>
      </c>
      <c r="B193" s="5"/>
      <c r="C193" s="2">
        <f>IF(B193="","",IF(C193="",NOW(),C193))</f>
      </c>
    </row>
    <row r="194">
      <c r="A194" s="4">
        <f>IF(B194="","",ROW()-1)</f>
      </c>
      <c r="B194" s="5"/>
      <c r="C194" s="2">
        <f>IF(B194="","",IF(C194="",NOW(),C194))</f>
      </c>
    </row>
    <row r="195">
      <c r="A195" s="4">
        <f>IF(B195="","",ROW()-1)</f>
      </c>
      <c r="B195" s="5"/>
      <c r="C195" s="2">
        <f>IF(B195="","",IF(C195="",NOW(),C195))</f>
      </c>
    </row>
    <row r="196">
      <c r="A196" s="4">
        <f>IF(B196="","",ROW()-1)</f>
      </c>
      <c r="B196" s="5"/>
      <c r="C196" s="2">
        <f>IF(B196="","",IF(C196="",NOW(),C196))</f>
      </c>
    </row>
    <row r="197">
      <c r="A197" s="4">
        <f>IF(B197="","",ROW()-1)</f>
      </c>
      <c r="B197" s="5"/>
      <c r="C197" s="2">
        <f>IF(B197="","",IF(C197="",NOW(),C197))</f>
      </c>
    </row>
    <row r="198">
      <c r="A198" s="4">
        <f>IF(B198="","",ROW()-1)</f>
      </c>
      <c r="B198" s="5"/>
      <c r="C198" s="2">
        <f>IF(B198="","",IF(C198="",NOW(),C198))</f>
      </c>
    </row>
    <row r="199">
      <c r="A199" s="4">
        <f>IF(B199="","",ROW()-1)</f>
      </c>
      <c r="B199" s="5"/>
      <c r="C199" s="2">
        <f>IF(B199="","",IF(C199="",NOW(),C199))</f>
      </c>
    </row>
    <row r="200">
      <c r="A200" s="4">
        <f>IF(B200="","",ROW()-1)</f>
      </c>
      <c r="B200" s="5"/>
      <c r="C200" s="2">
        <f>IF(B200="","",IF(C200="",NOW(),C200))</f>
      </c>
    </row>
    <row r="201">
      <c r="A201" s="4">
        <f>IF(B201="","",ROW()-1)</f>
      </c>
      <c r="B201" s="5"/>
      <c r="C201" s="2">
        <f>IF(B201="","",IF(C201="",NOW(),C201))</f>
      </c>
    </row>
    <row r="202">
      <c r="A202" s="4">
        <f>IF(B202="","",ROW()-1)</f>
      </c>
      <c r="B202" s="5"/>
      <c r="C202" s="2">
        <f>IF(B202="","",IF(C202="",NOW(),C202))</f>
      </c>
    </row>
    <row r="203">
      <c r="A203" s="4">
        <f>IF(B203="","",ROW()-1)</f>
      </c>
      <c r="B203" s="5"/>
      <c r="C203" s="2">
        <f>IF(B203="","",IF(C203="",NOW(),C203))</f>
      </c>
    </row>
    <row r="204">
      <c r="A204" s="4">
        <f>IF(B204="","",ROW()-1)</f>
      </c>
      <c r="B204" s="5"/>
      <c r="C204" s="2">
        <f>IF(B204="","",IF(C204="",NOW(),C204))</f>
      </c>
    </row>
    <row r="205">
      <c r="A205" s="4">
        <f>IF(B205="","",ROW()-1)</f>
      </c>
      <c r="B205" s="5"/>
      <c r="C205" s="2">
        <f>IF(B205="","",IF(C205="",NOW(),C205))</f>
      </c>
    </row>
    <row r="206">
      <c r="A206" s="4">
        <f>IF(B206="","",ROW()-1)</f>
      </c>
      <c r="B206" s="5"/>
      <c r="C206" s="2">
        <f>IF(B206="","",IF(C206="",NOW(),C206))</f>
      </c>
    </row>
    <row r="207">
      <c r="A207" s="4">
        <f>IF(B207="","",ROW()-1)</f>
      </c>
      <c r="B207" s="5"/>
      <c r="C207" s="2">
        <f>IF(B207="","",IF(C207="",NOW(),C207))</f>
      </c>
    </row>
    <row r="208">
      <c r="A208" s="4">
        <f>IF(B208="","",ROW()-1)</f>
      </c>
      <c r="B208" s="5"/>
      <c r="C208" s="2">
        <f>IF(B208="","",IF(C208="",NOW(),C208))</f>
      </c>
    </row>
    <row r="209">
      <c r="A209" s="4">
        <f>IF(B209="","",ROW()-1)</f>
      </c>
      <c r="B209" s="5"/>
      <c r="C209" s="2">
        <f>IF(B209="","",IF(C209="",NOW(),C209))</f>
      </c>
    </row>
    <row r="210">
      <c r="A210" s="4">
        <f>IF(B210="","",ROW()-1)</f>
      </c>
      <c r="B210" s="5"/>
      <c r="C210" s="2">
        <f>IF(B210="","",IF(C210="",NOW(),C210))</f>
      </c>
    </row>
    <row r="211">
      <c r="A211" s="4">
        <f>IF(B211="","",ROW()-1)</f>
      </c>
      <c r="B211" s="5"/>
      <c r="C211" s="2">
        <f>IF(B211="","",IF(C211="",NOW(),C211))</f>
      </c>
    </row>
    <row r="212">
      <c r="A212" s="4">
        <f>IF(B212="","",ROW()-1)</f>
      </c>
      <c r="B212" s="5"/>
      <c r="C212" s="2">
        <f>IF(B212="","",IF(C212="",NOW(),C212))</f>
      </c>
    </row>
    <row r="213">
      <c r="A213" s="4">
        <f>IF(B213="","",ROW()-1)</f>
      </c>
      <c r="B213" s="5"/>
      <c r="C213" s="2">
        <f>IF(B213="","",IF(C213="",NOW(),C213))</f>
      </c>
    </row>
    <row r="214">
      <c r="A214" s="4">
        <f>IF(B214="","",ROW()-1)</f>
      </c>
      <c r="B214" s="5"/>
      <c r="C214" s="2">
        <f>IF(B214="","",IF(C214="",NOW(),C214))</f>
      </c>
    </row>
    <row r="215">
      <c r="A215" s="4">
        <f>IF(B215="","",ROW()-1)</f>
      </c>
      <c r="B215" s="5"/>
      <c r="C215" s="2">
        <f>IF(B215="","",IF(C215="",NOW(),C215))</f>
      </c>
    </row>
    <row r="216">
      <c r="A216" s="4">
        <f>IF(B216="","",ROW()-1)</f>
      </c>
      <c r="B216" s="5"/>
      <c r="C216" s="2">
        <f>IF(B216="","",IF(C216="",NOW(),C216))</f>
      </c>
    </row>
    <row r="217">
      <c r="A217" s="4">
        <f>IF(B217="","",ROW()-1)</f>
      </c>
      <c r="B217" s="5"/>
      <c r="C217" s="2">
        <f>IF(B217="","",IF(C217="",NOW(),C217))</f>
      </c>
    </row>
    <row r="218">
      <c r="A218" s="4">
        <f>IF(B218="","",ROW()-1)</f>
      </c>
      <c r="B218" s="5"/>
      <c r="C218" s="2">
        <f>IF(B218="","",IF(C218="",NOW(),C218))</f>
      </c>
    </row>
    <row r="219">
      <c r="A219" s="4">
        <f>IF(B219="","",ROW()-1)</f>
      </c>
      <c r="B219" s="5"/>
      <c r="C219" s="2">
        <f>IF(B219="","",IF(C219="",NOW(),C219))</f>
      </c>
    </row>
    <row r="220">
      <c r="A220" s="4">
        <f>IF(B220="","",ROW()-1)</f>
      </c>
      <c r="B220" s="5"/>
      <c r="C220" s="2">
        <f>IF(B220="","",IF(C220="",NOW(),C220))</f>
      </c>
    </row>
    <row r="221">
      <c r="A221" s="4">
        <f>IF(B221="","",ROW()-1)</f>
      </c>
      <c r="B221" s="5"/>
      <c r="C221" s="2">
        <f>IF(B221="","",IF(C221="",NOW(),C221))</f>
      </c>
    </row>
    <row r="222">
      <c r="A222" s="4">
        <f>IF(B222="","",ROW()-1)</f>
      </c>
      <c r="B222" s="5"/>
      <c r="C222" s="2">
        <f>IF(B222="","",IF(C222="",NOW(),C222))</f>
      </c>
    </row>
    <row r="223">
      <c r="A223" s="4">
        <f>IF(B223="","",ROW()-1)</f>
      </c>
      <c r="B223" s="5"/>
      <c r="C223" s="2">
        <f>IF(B223="","",IF(C223="",NOW(),C223))</f>
      </c>
    </row>
    <row r="224">
      <c r="A224" s="4">
        <f>IF(B224="","",ROW()-1)</f>
      </c>
      <c r="B224" s="5"/>
      <c r="C224" s="2">
        <f>IF(B224="","",IF(C224="",NOW(),C224))</f>
      </c>
    </row>
    <row r="225">
      <c r="A225" s="4">
        <f>IF(B225="","",ROW()-1)</f>
      </c>
      <c r="B225" s="5"/>
      <c r="C225" s="2">
        <f>IF(B225="","",IF(C225="",NOW(),C225))</f>
      </c>
    </row>
    <row r="226">
      <c r="A226" s="4">
        <f>IF(B226="","",ROW()-1)</f>
      </c>
      <c r="B226" s="5"/>
      <c r="C226" s="2">
        <f>IF(B226="","",IF(C226="",NOW(),C226))</f>
      </c>
    </row>
    <row r="227">
      <c r="A227" s="4">
        <f>IF(B227="","",ROW()-1)</f>
      </c>
      <c r="B227" s="5"/>
      <c r="C227" s="2">
        <f>IF(B227="","",IF(C227="",NOW(),C227))</f>
      </c>
    </row>
    <row r="228">
      <c r="A228" s="4">
        <f>IF(B228="","",ROW()-1)</f>
      </c>
      <c r="B228" s="5"/>
      <c r="C228" s="2">
        <f>IF(B228="","",IF(C228="",NOW(),C228))</f>
      </c>
    </row>
    <row r="229">
      <c r="A229" s="4">
        <f>IF(B229="","",ROW()-1)</f>
      </c>
      <c r="B229" s="5"/>
      <c r="C229" s="2">
        <f>IF(B229="","",IF(C229="",NOW(),C229))</f>
      </c>
    </row>
    <row r="230">
      <c r="A230" s="4">
        <f>IF(B230="","",ROW()-1)</f>
      </c>
      <c r="B230" s="5"/>
      <c r="C230" s="2">
        <f>IF(B230="","",IF(C230="",NOW(),C230))</f>
      </c>
    </row>
    <row r="231">
      <c r="A231" s="4">
        <f>IF(B231="","",ROW()-1)</f>
      </c>
      <c r="B231" s="5"/>
      <c r="C231" s="2">
        <f>IF(B231="","",IF(C231="",NOW(),C231))</f>
      </c>
    </row>
    <row r="232">
      <c r="A232" s="4">
        <f>IF(B232="","",ROW()-1)</f>
      </c>
      <c r="B232" s="5"/>
      <c r="C232" s="2">
        <f>IF(B232="","",IF(C232="",NOW(),C232))</f>
      </c>
    </row>
    <row r="233">
      <c r="A233" s="4">
        <f>IF(B233="","",ROW()-1)</f>
      </c>
      <c r="B233" s="5"/>
      <c r="C233" s="2">
        <f>IF(B233="","",IF(C233="",NOW(),C233))</f>
      </c>
    </row>
    <row r="234">
      <c r="A234" s="4">
        <f>IF(B234="","",ROW()-1)</f>
      </c>
      <c r="B234" s="5"/>
      <c r="C234" s="2">
        <f>IF(B234="","",IF(C234="",NOW(),C234))</f>
      </c>
    </row>
    <row r="235">
      <c r="A235" s="4">
        <f>IF(B235="","",ROW()-1)</f>
      </c>
      <c r="B235" s="5"/>
      <c r="C235" s="2">
        <f>IF(B235="","",IF(C235="",NOW(),C235))</f>
      </c>
    </row>
    <row r="236">
      <c r="A236" s="4">
        <f>IF(B236="","",ROW()-1)</f>
      </c>
      <c r="B236" s="5"/>
      <c r="C236" s="2">
        <f>IF(B236="","",IF(C236="",NOW(),C236))</f>
      </c>
    </row>
    <row r="237">
      <c r="A237" s="4">
        <f>IF(B237="","",ROW()-1)</f>
      </c>
      <c r="B237" s="5"/>
      <c r="C237" s="2">
        <f>IF(B237="","",IF(C237="",NOW(),C237))</f>
      </c>
    </row>
    <row r="238">
      <c r="A238" s="4">
        <f>IF(B238="","",ROW()-1)</f>
      </c>
      <c r="B238" s="5"/>
      <c r="C238" s="2">
        <f>IF(B238="","",IF(C238="",NOW(),C238))</f>
      </c>
    </row>
    <row r="239">
      <c r="A239" s="4">
        <f>IF(B239="","",ROW()-1)</f>
      </c>
      <c r="B239" s="5"/>
      <c r="C239" s="2">
        <f>IF(B239="","",IF(C239="",NOW(),C239))</f>
      </c>
    </row>
    <row r="240">
      <c r="A240" s="4">
        <f>IF(B240="","",ROW()-1)</f>
      </c>
      <c r="B240" s="5"/>
      <c r="C240" s="2">
        <f>IF(B240="","",IF(C240="",NOW(),C240))</f>
      </c>
    </row>
    <row r="241">
      <c r="A241" s="4">
        <f>IF(B241="","",ROW()-1)</f>
      </c>
      <c r="B241" s="5"/>
      <c r="C241" s="2">
        <f>IF(B241="","",IF(C241="",NOW(),C241))</f>
      </c>
    </row>
    <row r="242">
      <c r="A242" s="4">
        <f>IF(B242="","",ROW()-1)</f>
      </c>
      <c r="B242" s="5"/>
      <c r="C242" s="2">
        <f>IF(B242="","",IF(C242="",NOW(),C242))</f>
      </c>
    </row>
    <row r="243">
      <c r="A243" s="4">
        <f>IF(B243="","",ROW()-1)</f>
      </c>
      <c r="B243" s="5"/>
      <c r="C243" s="2">
        <f>IF(B243="","",IF(C243="",NOW(),C243))</f>
      </c>
    </row>
    <row r="244">
      <c r="A244" s="4">
        <f>IF(B244="","",ROW()-1)</f>
      </c>
      <c r="B244" s="5"/>
      <c r="C244" s="2">
        <f>IF(B244="","",IF(C244="",NOW(),C244))</f>
      </c>
    </row>
    <row r="245">
      <c r="A245" s="4">
        <f>IF(B245="","",ROW()-1)</f>
      </c>
      <c r="B245" s="5"/>
      <c r="C245" s="2">
        <f>IF(B245="","",IF(C245="",NOW(),C245))</f>
      </c>
    </row>
    <row r="246">
      <c r="A246" s="4">
        <f>IF(B246="","",ROW()-1)</f>
      </c>
      <c r="B246" s="5"/>
      <c r="C246" s="2">
        <f>IF(B246="","",IF(C246="",NOW(),C246))</f>
      </c>
    </row>
    <row r="247">
      <c r="A247" s="4">
        <f>IF(B247="","",ROW()-1)</f>
      </c>
      <c r="B247" s="5"/>
      <c r="C247" s="2">
        <f>IF(B247="","",IF(C247="",NOW(),C247))</f>
      </c>
    </row>
    <row r="248">
      <c r="A248" s="4">
        <f>IF(B248="","",ROW()-1)</f>
      </c>
      <c r="B248" s="5"/>
      <c r="C248" s="2">
        <f>IF(B248="","",IF(C248="",NOW(),C248))</f>
      </c>
    </row>
    <row r="249">
      <c r="A249" s="4">
        <f>IF(B249="","",ROW()-1)</f>
      </c>
      <c r="B249" s="5"/>
      <c r="C249" s="2">
        <f>IF(B249="","",IF(C249="",NOW(),C249))</f>
      </c>
    </row>
    <row r="250">
      <c r="A250" s="4">
        <f>IF(B250="","",ROW()-1)</f>
      </c>
      <c r="B250" s="5"/>
      <c r="C250" s="2">
        <f>IF(B250="","",IF(C250="",NOW(),C250))</f>
      </c>
    </row>
    <row r="251">
      <c r="A251" s="4">
        <f>IF(B251="","",ROW()-1)</f>
      </c>
      <c r="B251" s="5"/>
      <c r="C251" s="2">
        <f>IF(B251="","",IF(C251="",NOW(),C251))</f>
      </c>
    </row>
    <row r="252">
      <c r="A252" s="4">
        <f>IF(B252="","",ROW()-1)</f>
      </c>
      <c r="B252" s="5"/>
      <c r="C252" s="2">
        <f>IF(B252="","",IF(C252="",NOW(),C252))</f>
      </c>
    </row>
    <row r="253">
      <c r="A253" s="4">
        <f>IF(B253="","",ROW()-1)</f>
      </c>
      <c r="B253" s="5"/>
      <c r="C253" s="2">
        <f>IF(B253="","",IF(C253="",NOW(),C253))</f>
      </c>
    </row>
    <row r="254">
      <c r="A254" s="4">
        <f>IF(B254="","",ROW()-1)</f>
      </c>
      <c r="B254" s="5"/>
      <c r="C254" s="2">
        <f>IF(B254="","",IF(C254="",NOW(),C254))</f>
      </c>
    </row>
    <row r="255">
      <c r="A255" s="4">
        <f>IF(B255="","",ROW()-1)</f>
      </c>
      <c r="B255" s="5"/>
      <c r="C255" s="2">
        <f>IF(B255="","",IF(C255="",NOW(),C255))</f>
      </c>
    </row>
    <row r="256">
      <c r="A256" s="4">
        <f>IF(B256="","",ROW()-1)</f>
      </c>
      <c r="B256" s="5"/>
      <c r="C256" s="2">
        <f>IF(B256="","",IF(C256="",NOW(),C256))</f>
      </c>
    </row>
    <row r="257">
      <c r="A257" s="4">
        <f>IF(B257="","",ROW()-1)</f>
      </c>
      <c r="B257" s="5"/>
      <c r="C257" s="2">
        <f>IF(B257="","",IF(C257="",NOW(),C257))</f>
      </c>
    </row>
    <row r="258">
      <c r="A258" s="4">
        <f>IF(B258="","",ROW()-1)</f>
      </c>
      <c r="B258" s="5"/>
      <c r="C258" s="2">
        <f>IF(B258="","",IF(C258="",NOW(),C258))</f>
      </c>
    </row>
    <row r="259">
      <c r="A259" s="4">
        <f>IF(B259="","",ROW()-1)</f>
      </c>
      <c r="B259" s="5"/>
      <c r="C259" s="2">
        <f>IF(B259="","",IF(C259="",NOW(),C259))</f>
      </c>
    </row>
    <row r="260">
      <c r="A260" s="4">
        <f>IF(B260="","",ROW()-1)</f>
      </c>
      <c r="B260" s="5"/>
      <c r="C260" s="2">
        <f>IF(B260="","",IF(C260="",NOW(),C260))</f>
      </c>
    </row>
    <row r="261">
      <c r="A261" s="4">
        <f>IF(B261="","",ROW()-1)</f>
      </c>
      <c r="B261" s="5"/>
      <c r="C261" s="2">
        <f>IF(B261="","",IF(C261="",NOW(),C261))</f>
      </c>
    </row>
    <row r="262">
      <c r="A262" s="4">
        <f>IF(B262="","",ROW()-1)</f>
      </c>
      <c r="B262" s="5"/>
      <c r="C262" s="2">
        <f>IF(B262="","",IF(C262="",NOW(),C262))</f>
      </c>
    </row>
    <row r="263">
      <c r="A263" s="4">
        <f>IF(B263="","",ROW()-1)</f>
      </c>
      <c r="B263" s="5"/>
      <c r="C263" s="2">
        <f>IF(B263="","",IF(C263="",NOW(),C263))</f>
      </c>
    </row>
    <row r="264">
      <c r="A264" s="4">
        <f>IF(B264="","",ROW()-1)</f>
      </c>
      <c r="B264" s="5"/>
      <c r="C264" s="2">
        <f>IF(B264="","",IF(C264="",NOW(),C264))</f>
      </c>
    </row>
    <row r="265">
      <c r="A265" s="4">
        <f>IF(B265="","",ROW()-1)</f>
      </c>
      <c r="B265" s="5"/>
      <c r="C265" s="2">
        <f>IF(B265="","",IF(C265="",NOW(),C265))</f>
      </c>
    </row>
    <row r="266">
      <c r="A266" s="4">
        <f>IF(B266="","",ROW()-1)</f>
      </c>
      <c r="B266" s="5"/>
      <c r="C266" s="2">
        <f>IF(B266="","",IF(C266="",NOW(),C266))</f>
      </c>
    </row>
    <row r="267">
      <c r="A267" s="4">
        <f>IF(B267="","",ROW()-1)</f>
      </c>
      <c r="B267" s="5"/>
      <c r="C267" s="2">
        <f>IF(B267="","",IF(C267="",NOW(),C267))</f>
      </c>
    </row>
    <row r="268">
      <c r="A268" s="4">
        <f>IF(B268="","",ROW()-1)</f>
      </c>
      <c r="B268" s="5"/>
      <c r="C268" s="2">
        <f>IF(B268="","",IF(C268="",NOW(),C268))</f>
      </c>
    </row>
    <row r="269">
      <c r="A269" s="4">
        <f>IF(B269="","",ROW()-1)</f>
      </c>
      <c r="B269" s="5"/>
      <c r="C269" s="2">
        <f>IF(B269="","",IF(C269="",NOW(),C269))</f>
      </c>
    </row>
    <row r="270">
      <c r="A270" s="4">
        <f>IF(B270="","",ROW()-1)</f>
      </c>
      <c r="B270" s="5"/>
      <c r="C270" s="2">
        <f>IF(B270="","",IF(C270="",NOW(),C270))</f>
      </c>
    </row>
    <row r="271">
      <c r="A271" s="4">
        <f>IF(B271="","",ROW()-1)</f>
      </c>
      <c r="B271" s="5"/>
      <c r="C271" s="2">
        <f>IF(B271="","",IF(C271="",NOW(),C271))</f>
      </c>
    </row>
    <row r="272">
      <c r="A272" s="4">
        <f>IF(B272="","",ROW()-1)</f>
      </c>
      <c r="B272" s="5"/>
      <c r="C272" s="2">
        <f>IF(B272="","",IF(C272="",NOW(),C272))</f>
      </c>
    </row>
    <row r="273">
      <c r="A273" s="4">
        <f>IF(B273="","",ROW()-1)</f>
      </c>
      <c r="B273" s="5"/>
      <c r="C273" s="2">
        <f>IF(B273="","",IF(C273="",NOW(),C273))</f>
      </c>
    </row>
    <row r="274">
      <c r="A274" s="4">
        <f>IF(B274="","",ROW()-1)</f>
      </c>
      <c r="B274" s="5"/>
      <c r="C274" s="2">
        <f>IF(B274="","",IF(C274="",NOW(),C274))</f>
      </c>
    </row>
    <row r="275">
      <c r="A275" s="4">
        <f>IF(B275="","",ROW()-1)</f>
      </c>
      <c r="B275" s="5"/>
      <c r="C275" s="2">
        <f>IF(B275="","",IF(C275="",NOW(),C275))</f>
      </c>
    </row>
    <row r="276">
      <c r="A276" s="4">
        <f>IF(B276="","",ROW()-1)</f>
      </c>
      <c r="B276" s="5"/>
      <c r="C276" s="2">
        <f>IF(B276="","",IF(C276="",NOW(),C276))</f>
      </c>
    </row>
    <row r="277">
      <c r="A277" s="4">
        <f>IF(B277="","",ROW()-1)</f>
      </c>
      <c r="B277" s="5"/>
      <c r="C277" s="2">
        <f>IF(B277="","",IF(C277="",NOW(),C277))</f>
      </c>
    </row>
    <row r="278">
      <c r="A278" s="4">
        <f>IF(B278="","",ROW()-1)</f>
      </c>
      <c r="B278" s="5"/>
      <c r="C278" s="2">
        <f>IF(B278="","",IF(C278="",NOW(),C278))</f>
      </c>
    </row>
    <row r="279">
      <c r="A279" s="4">
        <f>IF(B279="","",ROW()-1)</f>
      </c>
      <c r="B279" s="5"/>
      <c r="C279" s="2">
        <f>IF(B279="","",IF(C279="",NOW(),C279))</f>
      </c>
    </row>
    <row r="280">
      <c r="A280" s="4">
        <f>IF(B280="","",ROW()-1)</f>
      </c>
      <c r="B280" s="5"/>
      <c r="C280" s="2">
        <f>IF(B280="","",IF(C280="",NOW(),C280))</f>
      </c>
    </row>
    <row r="281">
      <c r="A281" s="4">
        <f>IF(B281="","",ROW()-1)</f>
      </c>
      <c r="B281" s="5"/>
      <c r="C281" s="2">
        <f>IF(B281="","",IF(C281="",NOW(),C281))</f>
      </c>
    </row>
    <row r="282">
      <c r="A282" s="4">
        <f>IF(B282="","",ROW()-1)</f>
      </c>
      <c r="B282" s="5"/>
      <c r="C282" s="2">
        <f>IF(B282="","",IF(C282="",NOW(),C282))</f>
      </c>
    </row>
    <row r="283">
      <c r="A283" s="4">
        <f>IF(B283="","",ROW()-1)</f>
      </c>
      <c r="B283" s="5"/>
      <c r="C283" s="2">
        <f>IF(B283="","",IF(C283="",NOW(),C283))</f>
      </c>
    </row>
    <row r="284">
      <c r="A284" s="4">
        <f>IF(B284="","",ROW()-1)</f>
      </c>
      <c r="B284" s="5"/>
      <c r="C284" s="2">
        <f>IF(B284="","",IF(C284="",NOW(),C284))</f>
      </c>
    </row>
    <row r="285">
      <c r="A285" s="4">
        <f>IF(B285="","",ROW()-1)</f>
      </c>
      <c r="B285" s="5"/>
      <c r="C285" s="2">
        <f>IF(B285="","",IF(C285="",NOW(),C285))</f>
      </c>
    </row>
    <row r="286">
      <c r="A286" s="4">
        <f>IF(B286="","",ROW()-1)</f>
      </c>
      <c r="B286" s="5"/>
      <c r="C286" s="2">
        <f>IF(B286="","",IF(C286="",NOW(),C286))</f>
      </c>
    </row>
    <row r="287">
      <c r="A287" s="4">
        <f>IF(B287="","",ROW()-1)</f>
      </c>
      <c r="B287" s="5"/>
      <c r="C287" s="2">
        <f>IF(B287="","",IF(C287="",NOW(),C287))</f>
      </c>
    </row>
    <row r="288">
      <c r="A288" s="4">
        <f>IF(B288="","",ROW()-1)</f>
      </c>
      <c r="B288" s="5"/>
      <c r="C288" s="2">
        <f>IF(B288="","",IF(C288="",NOW(),C288))</f>
      </c>
    </row>
    <row r="289">
      <c r="A289" s="4">
        <f>IF(B289="","",ROW()-1)</f>
      </c>
      <c r="B289" s="5"/>
      <c r="C289" s="2">
        <f>IF(B289="","",IF(C289="",NOW(),C289))</f>
      </c>
    </row>
    <row r="290">
      <c r="A290" s="4">
        <f>IF(B290="","",ROW()-1)</f>
      </c>
      <c r="B290" s="5"/>
      <c r="C290" s="2">
        <f>IF(B290="","",IF(C290="",NOW(),C290))</f>
      </c>
    </row>
    <row r="291">
      <c r="A291" s="4">
        <f>IF(B291="","",ROW()-1)</f>
      </c>
      <c r="B291" s="5"/>
      <c r="C291" s="2">
        <f>IF(B291="","",IF(C291="",NOW(),C291))</f>
      </c>
    </row>
    <row r="292">
      <c r="A292" s="4">
        <f>IF(B292="","",ROW()-1)</f>
      </c>
      <c r="B292" s="5"/>
      <c r="C292" s="2">
        <f>IF(B292="","",IF(C292="",NOW(),C292))</f>
      </c>
    </row>
    <row r="293">
      <c r="A293" s="4">
        <f>IF(B293="","",ROW()-1)</f>
      </c>
      <c r="B293" s="5"/>
      <c r="C293" s="2">
        <f>IF(B293="","",IF(C293="",NOW(),C293))</f>
      </c>
    </row>
    <row r="294">
      <c r="A294" s="4">
        <f>IF(B294="","",ROW()-1)</f>
      </c>
      <c r="B294" s="5"/>
      <c r="C294" s="2">
        <f>IF(B294="","",IF(C294="",NOW(),C294))</f>
      </c>
    </row>
    <row r="295">
      <c r="A295" s="4">
        <f>IF(B295="","",ROW()-1)</f>
      </c>
      <c r="B295" s="5"/>
      <c r="C295" s="2">
        <f>IF(B295="","",IF(C295="",NOW(),C295))</f>
      </c>
    </row>
    <row r="296">
      <c r="A296" s="4">
        <f>IF(B296="","",ROW()-1)</f>
      </c>
      <c r="B296" s="5"/>
      <c r="C296" s="2">
        <f>IF(B296="","",IF(C296="",NOW(),C296))</f>
      </c>
    </row>
    <row r="297">
      <c r="A297" s="4">
        <f>IF(B297="","",ROW()-1)</f>
      </c>
      <c r="B297" s="5"/>
      <c r="C297" s="2">
        <f>IF(B297="","",IF(C297="",NOW(),C297))</f>
      </c>
    </row>
    <row r="298">
      <c r="A298" s="4">
        <f>IF(B298="","",ROW()-1)</f>
      </c>
      <c r="B298" s="5"/>
      <c r="C298" s="2">
        <f>IF(B298="","",IF(C298="",NOW(),C298))</f>
      </c>
    </row>
    <row r="299">
      <c r="A299" s="4">
        <f>IF(B299="","",ROW()-1)</f>
      </c>
      <c r="B299" s="5"/>
      <c r="C299" s="2">
        <f>IF(B299="","",IF(C299="",NOW(),C299))</f>
      </c>
    </row>
    <row r="300">
      <c r="A300" s="4">
        <f>IF(B300="","",ROW()-1)</f>
      </c>
      <c r="B300" s="5"/>
      <c r="C300" s="2">
        <f>IF(B300="","",IF(C300="",NOW(),C300))</f>
      </c>
    </row>
    <row r="301">
      <c r="A301" s="4">
        <f>IF(B301="","",ROW()-1)</f>
      </c>
      <c r="B301" s="5"/>
      <c r="C301" s="2">
        <f>IF(B301="","",IF(C301="",NOW(),C301))</f>
      </c>
    </row>
    <row r="302">
      <c r="A302" s="4">
        <f>IF(B302="","",ROW()-1)</f>
      </c>
      <c r="B302" s="5"/>
      <c r="C302" s="2">
        <f>IF(B302="","",IF(C302="",NOW(),C302))</f>
      </c>
    </row>
    <row r="303">
      <c r="A303" s="4">
        <f>IF(B303="","",ROW()-1)</f>
      </c>
      <c r="B303" s="5"/>
      <c r="C303" s="2">
        <f>IF(B303="","",IF(C303="",NOW(),C303))</f>
      </c>
    </row>
    <row r="304">
      <c r="A304" s="4">
        <f>IF(B304="","",ROW()-1)</f>
      </c>
      <c r="B304" s="5"/>
      <c r="C304" s="2">
        <f>IF(B304="","",IF(C304="",NOW(),C304))</f>
      </c>
    </row>
    <row r="305">
      <c r="A305" s="4">
        <f>IF(B305="","",ROW()-1)</f>
      </c>
      <c r="B305" s="5"/>
      <c r="C305" s="2">
        <f>IF(B305="","",IF(C305="",NOW(),C305))</f>
      </c>
    </row>
    <row r="306">
      <c r="A306" s="4">
        <f>IF(B306="","",ROW()-1)</f>
      </c>
      <c r="B306" s="5"/>
      <c r="C306" s="2">
        <f>IF(B306="","",IF(C306="",NOW(),C306))</f>
      </c>
    </row>
    <row r="307">
      <c r="A307" s="4">
        <f>IF(B307="","",ROW()-1)</f>
      </c>
      <c r="B307" s="5"/>
      <c r="C307" s="2">
        <f>IF(B307="","",IF(C307="",NOW(),C307))</f>
      </c>
    </row>
    <row r="308">
      <c r="A308" s="4">
        <f>IF(B308="","",ROW()-1)</f>
      </c>
      <c r="B308" s="5"/>
      <c r="C308" s="2">
        <f>IF(B308="","",IF(C308="",NOW(),C308))</f>
      </c>
    </row>
    <row r="309">
      <c r="A309" s="4">
        <f>IF(B309="","",ROW()-1)</f>
      </c>
      <c r="B309" s="5"/>
      <c r="C309" s="2">
        <f>IF(B309="","",IF(C309="",NOW(),C309))</f>
      </c>
    </row>
    <row r="310">
      <c r="A310" s="4">
        <f>IF(B310="","",ROW()-1)</f>
      </c>
      <c r="B310" s="5"/>
      <c r="C310" s="2">
        <f>IF(B310="","",IF(C310="",NOW(),C310))</f>
      </c>
    </row>
    <row r="311">
      <c r="A311" s="4">
        <f>IF(B311="","",ROW()-1)</f>
      </c>
      <c r="B311" s="5"/>
      <c r="C311" s="2">
        <f>IF(B311="","",IF(C311="",NOW(),C311))</f>
      </c>
    </row>
    <row r="312">
      <c r="A312" s="4">
        <f>IF(B312="","",ROW()-1)</f>
      </c>
      <c r="B312" s="5"/>
      <c r="C312" s="2">
        <f>IF(B312="","",IF(C312="",NOW(),C312))</f>
      </c>
    </row>
    <row r="313">
      <c r="A313" s="4">
        <f>IF(B313="","",ROW()-1)</f>
      </c>
      <c r="B313" s="5"/>
      <c r="C313" s="2">
        <f>IF(B313="","",IF(C313="",NOW(),C313))</f>
      </c>
    </row>
    <row r="314">
      <c r="A314" s="4">
        <f>IF(B314="","",ROW()-1)</f>
      </c>
      <c r="B314" s="5"/>
      <c r="C314" s="2">
        <f>IF(B314="","",IF(C314="",NOW(),C314))</f>
      </c>
    </row>
    <row r="315">
      <c r="A315" s="4">
        <f>IF(B315="","",ROW()-1)</f>
      </c>
      <c r="B315" s="5"/>
      <c r="C315" s="2">
        <f>IF(B315="","",IF(C315="",NOW(),C315))</f>
      </c>
    </row>
    <row r="316">
      <c r="A316" s="4">
        <f>IF(B316="","",ROW()-1)</f>
      </c>
      <c r="B316" s="5"/>
      <c r="C316" s="2">
        <f>IF(B316="","",IF(C316="",NOW(),C316))</f>
      </c>
    </row>
    <row r="317">
      <c r="A317" s="4">
        <f>IF(B317="","",ROW()-1)</f>
      </c>
      <c r="B317" s="5"/>
      <c r="C317" s="2">
        <f>IF(B317="","",IF(C317="",NOW(),C317))</f>
      </c>
    </row>
    <row r="318">
      <c r="A318" s="4">
        <f>IF(B318="","",ROW()-1)</f>
      </c>
      <c r="B318" s="5"/>
      <c r="C318" s="2">
        <f>IF(B318="","",IF(C318="",NOW(),C318))</f>
      </c>
    </row>
    <row r="319">
      <c r="A319" s="4">
        <f>IF(B319="","",ROW()-1)</f>
      </c>
      <c r="B319" s="5"/>
      <c r="C319" s="2">
        <f>IF(B319="","",IF(C319="",NOW(),C319))</f>
      </c>
    </row>
    <row r="320">
      <c r="A320" s="4">
        <f>IF(B320="","",ROW()-1)</f>
      </c>
      <c r="B320" s="5"/>
      <c r="C320" s="2">
        <f>IF(B320="","",IF(C320="",NOW(),C320))</f>
      </c>
    </row>
    <row r="321">
      <c r="A321" s="4">
        <f>IF(B321="","",ROW()-1)</f>
      </c>
      <c r="B321" s="5"/>
      <c r="C321" s="2">
        <f>IF(B321="","",IF(C321="",NOW(),C321))</f>
      </c>
    </row>
    <row r="322">
      <c r="A322" s="4">
        <f>IF(B322="","",ROW()-1)</f>
      </c>
      <c r="B322" s="5"/>
      <c r="C322" s="2">
        <f>IF(B322="","",IF(C322="",NOW(),C322))</f>
      </c>
    </row>
    <row r="323">
      <c r="A323" s="4">
        <f>IF(B323="","",ROW()-1)</f>
      </c>
      <c r="B323" s="5"/>
      <c r="C323" s="2">
        <f>IF(B323="","",IF(C323="",NOW(),C323))</f>
      </c>
    </row>
    <row r="324">
      <c r="A324" s="4">
        <f>IF(B324="","",ROW()-1)</f>
      </c>
      <c r="B324" s="5"/>
      <c r="C324" s="2">
        <f>IF(B324="","",IF(C324="",NOW(),C324))</f>
      </c>
    </row>
    <row r="325">
      <c r="A325" s="4">
        <f>IF(B325="","",ROW()-1)</f>
      </c>
      <c r="B325" s="5"/>
      <c r="C325" s="2">
        <f>IF(B325="","",IF(C325="",NOW(),C325))</f>
      </c>
    </row>
    <row r="326">
      <c r="A326" s="4">
        <f>IF(B326="","",ROW()-1)</f>
      </c>
      <c r="B326" s="5"/>
      <c r="C326" s="2">
        <f>IF(B326="","",IF(C326="",NOW(),C326))</f>
      </c>
    </row>
    <row r="327">
      <c r="A327" s="4">
        <f>IF(B327="","",ROW()-1)</f>
      </c>
      <c r="B327" s="5"/>
      <c r="C327" s="2">
        <f>IF(B327="","",IF(C327="",NOW(),C327))</f>
      </c>
    </row>
    <row r="328">
      <c r="A328" s="4">
        <f>IF(B328="","",ROW()-1)</f>
      </c>
      <c r="B328" s="5"/>
      <c r="C328" s="2">
        <f>IF(B328="","",IF(C328="",NOW(),C328))</f>
      </c>
    </row>
    <row r="329">
      <c r="A329" s="4">
        <f>IF(B329="","",ROW()-1)</f>
      </c>
      <c r="B329" s="5"/>
      <c r="C329" s="2">
        <f>IF(B329="","",IF(C329="",NOW(),C329))</f>
      </c>
    </row>
    <row r="330">
      <c r="A330" s="4">
        <f>IF(B330="","",ROW()-1)</f>
      </c>
      <c r="B330" s="5"/>
      <c r="C330" s="2">
        <f>IF(B330="","",IF(C330="",NOW(),C330))</f>
      </c>
    </row>
    <row r="331">
      <c r="A331" s="4">
        <f>IF(B331="","",ROW()-1)</f>
      </c>
      <c r="B331" s="5"/>
      <c r="C331" s="2">
        <f>IF(B331="","",IF(C331="",NOW(),C331))</f>
      </c>
    </row>
    <row r="332">
      <c r="A332" s="4">
        <f>IF(B332="","",ROW()-1)</f>
      </c>
      <c r="B332" s="5"/>
      <c r="C332" s="2">
        <f>IF(B332="","",IF(C332="",NOW(),C332))</f>
      </c>
    </row>
    <row r="333">
      <c r="A333" s="4">
        <f>IF(B333="","",ROW()-1)</f>
      </c>
      <c r="B333" s="5"/>
      <c r="C333" s="2">
        <f>IF(B333="","",IF(C333="",NOW(),C333))</f>
      </c>
    </row>
    <row r="334">
      <c r="A334" s="4">
        <f>IF(B334="","",ROW()-1)</f>
      </c>
      <c r="B334" s="5"/>
      <c r="C334" s="2">
        <f>IF(B334="","",IF(C334="",NOW(),C334))</f>
      </c>
    </row>
    <row r="335">
      <c r="A335" s="4">
        <f>IF(B335="","",ROW()-1)</f>
      </c>
      <c r="B335" s="5"/>
      <c r="C335" s="2">
        <f>IF(B335="","",IF(C335="",NOW(),C335))</f>
      </c>
    </row>
    <row r="336">
      <c r="A336" s="4">
        <f>IF(B336="","",ROW()-1)</f>
      </c>
      <c r="B336" s="5"/>
      <c r="C336" s="2">
        <f>IF(B336="","",IF(C336="",NOW(),C336))</f>
      </c>
    </row>
    <row r="337">
      <c r="A337" s="4">
        <f>IF(B337="","",ROW()-1)</f>
      </c>
      <c r="B337" s="5"/>
      <c r="C337" s="2">
        <f>IF(B337="","",IF(C337="",NOW(),C337))</f>
      </c>
    </row>
    <row r="338">
      <c r="A338" s="4">
        <f>IF(B338="","",ROW()-1)</f>
      </c>
      <c r="B338" s="5"/>
      <c r="C338" s="2">
        <f>IF(B338="","",IF(C338="",NOW(),C338))</f>
      </c>
    </row>
    <row r="339">
      <c r="A339" s="4">
        <f>IF(B339="","",ROW()-1)</f>
      </c>
      <c r="B339" s="5"/>
      <c r="C339" s="2">
        <f>IF(B339="","",IF(C339="",NOW(),C339))</f>
      </c>
    </row>
    <row r="340">
      <c r="A340" s="4">
        <f>IF(B340="","",ROW()-1)</f>
      </c>
      <c r="B340" s="5"/>
      <c r="C340" s="2">
        <f>IF(B340="","",IF(C340="",NOW(),C340))</f>
      </c>
    </row>
    <row r="341">
      <c r="A341" s="4">
        <f>IF(B341="","",ROW()-1)</f>
      </c>
      <c r="B341" s="5"/>
      <c r="C341" s="2">
        <f>IF(B341="","",IF(C341="",NOW(),C341))</f>
      </c>
    </row>
    <row r="342">
      <c r="A342" s="4">
        <f>IF(B342="","",ROW()-1)</f>
      </c>
      <c r="B342" s="5"/>
      <c r="C342" s="2">
        <f>IF(B342="","",IF(C342="",NOW(),C342))</f>
      </c>
    </row>
    <row r="343">
      <c r="A343" s="4">
        <f>IF(B343="","",ROW()-1)</f>
      </c>
      <c r="B343" s="5"/>
      <c r="C343" s="2">
        <f>IF(B343="","",IF(C343="",NOW(),C343))</f>
      </c>
    </row>
    <row r="344">
      <c r="A344" s="4">
        <f>IF(B344="","",ROW()-1)</f>
      </c>
      <c r="B344" s="5"/>
      <c r="C344" s="2">
        <f>IF(B344="","",IF(C344="",NOW(),C344))</f>
      </c>
    </row>
    <row r="345">
      <c r="A345" s="4">
        <f>IF(B345="","",ROW()-1)</f>
      </c>
      <c r="B345" s="5"/>
      <c r="C345" s="2">
        <f>IF(B345="","",IF(C345="",NOW(),C345))</f>
      </c>
    </row>
    <row r="346">
      <c r="A346" s="4">
        <f>IF(B346="","",ROW()-1)</f>
      </c>
      <c r="B346" s="5"/>
      <c r="C346" s="2">
        <f>IF(B346="","",IF(C346="",NOW(),C346))</f>
      </c>
    </row>
    <row r="347">
      <c r="A347" s="4">
        <f>IF(B347="","",ROW()-1)</f>
      </c>
      <c r="B347" s="5"/>
      <c r="C347" s="2">
        <f>IF(B347="","",IF(C347="",NOW(),C347))</f>
      </c>
    </row>
    <row r="348">
      <c r="A348" s="4">
        <f>IF(B348="","",ROW()-1)</f>
      </c>
      <c r="B348" s="5"/>
      <c r="C348" s="2">
        <f>IF(B348="","",IF(C348="",NOW(),C348))</f>
      </c>
    </row>
    <row r="349">
      <c r="A349" s="4">
        <f>IF(B349="","",ROW()-1)</f>
      </c>
      <c r="B349" s="5"/>
      <c r="C349" s="2">
        <f>IF(B349="","",IF(C349="",NOW(),C349))</f>
      </c>
    </row>
    <row r="350">
      <c r="A350" s="4">
        <f>IF(B350="","",ROW()-1)</f>
      </c>
      <c r="B350" s="5"/>
      <c r="C350" s="2">
        <f>IF(B350="","",IF(C350="",NOW(),C350))</f>
      </c>
    </row>
    <row r="351">
      <c r="A351" s="4">
        <f>IF(B351="","",ROW()-1)</f>
      </c>
      <c r="B351" s="5"/>
      <c r="C351" s="2">
        <f>IF(B351="","",IF(C351="",NOW(),C351))</f>
      </c>
    </row>
    <row r="352">
      <c r="A352" s="4">
        <f>IF(B352="","",ROW()-1)</f>
      </c>
      <c r="B352" s="5"/>
      <c r="C352" s="2">
        <f>IF(B352="","",IF(C352="",NOW(),C352))</f>
      </c>
    </row>
    <row r="353">
      <c r="A353" s="4">
        <f>IF(B353="","",ROW()-1)</f>
      </c>
      <c r="B353" s="5"/>
      <c r="C353" s="2">
        <f>IF(B353="","",IF(C353="",NOW(),C353))</f>
      </c>
    </row>
    <row r="354">
      <c r="A354" s="4">
        <f>IF(B354="","",ROW()-1)</f>
      </c>
      <c r="B354" s="5"/>
      <c r="C354" s="2">
        <f>IF(B354="","",IF(C354="",NOW(),C354))</f>
      </c>
    </row>
    <row r="355">
      <c r="A355" s="4">
        <f>IF(B355="","",ROW()-1)</f>
      </c>
      <c r="B355" s="5"/>
      <c r="C355" s="2">
        <f>IF(B355="","",IF(C355="",NOW(),C355))</f>
      </c>
    </row>
    <row r="356">
      <c r="A356" s="4">
        <f>IF(B356="","",ROW()-1)</f>
      </c>
      <c r="B356" s="5"/>
      <c r="C356" s="2">
        <f>IF(B356="","",IF(C356="",NOW(),C356))</f>
      </c>
    </row>
    <row r="357">
      <c r="A357" s="4">
        <f>IF(B357="","",ROW()-1)</f>
      </c>
      <c r="B357" s="5"/>
      <c r="C357" s="2">
        <f>IF(B357="","",IF(C357="",NOW(),C357))</f>
      </c>
    </row>
    <row r="358">
      <c r="A358" s="4">
        <f>IF(B358="","",ROW()-1)</f>
      </c>
      <c r="B358" s="5"/>
      <c r="C358" s="2">
        <f>IF(B358="","",IF(C358="",NOW(),C358))</f>
      </c>
    </row>
    <row r="359">
      <c r="A359" s="4">
        <f>IF(B359="","",ROW()-1)</f>
      </c>
      <c r="B359" s="5"/>
      <c r="C359" s="2">
        <f>IF(B359="","",IF(C359="",NOW(),C359))</f>
      </c>
    </row>
    <row r="360">
      <c r="A360" s="4">
        <f>IF(B360="","",ROW()-1)</f>
      </c>
      <c r="B360" s="5"/>
      <c r="C360" s="2">
        <f>IF(B360="","",IF(C360="",NOW(),C360))</f>
      </c>
    </row>
    <row r="361">
      <c r="A361" s="4">
        <f>IF(B361="","",ROW()-1)</f>
      </c>
      <c r="B361" s="5"/>
      <c r="C361" s="2">
        <f>IF(B361="","",IF(C361="",NOW(),C361))</f>
      </c>
    </row>
    <row r="362">
      <c r="A362" s="4">
        <f>IF(B362="","",ROW()-1)</f>
      </c>
      <c r="B362" s="5"/>
      <c r="C362" s="2">
        <f>IF(B362="","",IF(C362="",NOW(),C362))</f>
      </c>
    </row>
    <row r="363">
      <c r="A363" s="4">
        <f>IF(B363="","",ROW()-1)</f>
      </c>
      <c r="B363" s="5"/>
      <c r="C363" s="2">
        <f>IF(B363="","",IF(C363="",NOW(),C363))</f>
      </c>
    </row>
    <row r="364">
      <c r="A364" s="4">
        <f>IF(B364="","",ROW()-1)</f>
      </c>
      <c r="B364" s="5"/>
      <c r="C364" s="2">
        <f>IF(B364="","",IF(C364="",NOW(),C364))</f>
      </c>
    </row>
    <row r="365">
      <c r="A365" s="4">
        <f>IF(B365="","",ROW()-1)</f>
      </c>
      <c r="B365" s="5"/>
      <c r="C365" s="2">
        <f>IF(B365="","",IF(C365="",NOW(),C365))</f>
      </c>
    </row>
    <row r="366">
      <c r="A366" s="4">
        <f>IF(B366="","",ROW()-1)</f>
      </c>
      <c r="B366" s="5"/>
      <c r="C366" s="2">
        <f>IF(B366="","",IF(C366="",NOW(),C366))</f>
      </c>
    </row>
    <row r="367">
      <c r="A367" s="4">
        <f>IF(B367="","",ROW()-1)</f>
      </c>
      <c r="B367" s="5"/>
      <c r="C367" s="2">
        <f>IF(B367="","",IF(C367="",NOW(),C367))</f>
      </c>
    </row>
    <row r="368">
      <c r="A368" s="4">
        <f>IF(B368="","",ROW()-1)</f>
      </c>
      <c r="B368" s="5"/>
      <c r="C368" s="2">
        <f>IF(B368="","",IF(C368="",NOW(),C368))</f>
      </c>
    </row>
    <row r="369">
      <c r="A369" s="4">
        <f>IF(B369="","",ROW()-1)</f>
      </c>
      <c r="B369" s="5"/>
      <c r="C369" s="2">
        <f>IF(B369="","",IF(C369="",NOW(),C369))</f>
      </c>
    </row>
    <row r="370">
      <c r="A370" s="4">
        <f>IF(B370="","",ROW()-1)</f>
      </c>
      <c r="B370" s="5"/>
      <c r="C370" s="2">
        <f>IF(B370="","",IF(C370="",NOW(),C370))</f>
      </c>
    </row>
    <row r="371">
      <c r="A371" s="4">
        <f>IF(B371="","",ROW()-1)</f>
      </c>
      <c r="B371" s="5"/>
      <c r="C371" s="2">
        <f>IF(B371="","",IF(C371="",NOW(),C371))</f>
      </c>
    </row>
    <row r="372">
      <c r="A372" s="4">
        <f>IF(B372="","",ROW()-1)</f>
      </c>
      <c r="B372" s="5"/>
      <c r="C372" s="2">
        <f>IF(B372="","",IF(C372="",NOW(),C372))</f>
      </c>
    </row>
    <row r="373">
      <c r="A373" s="4">
        <f>IF(B373="","",ROW()-1)</f>
      </c>
      <c r="B373" s="5"/>
      <c r="C373" s="2">
        <f>IF(B373="","",IF(C373="",NOW(),C373))</f>
      </c>
    </row>
    <row r="374">
      <c r="A374" s="4">
        <f>IF(B374="","",ROW()-1)</f>
      </c>
      <c r="B374" s="5"/>
      <c r="C374" s="2">
        <f>IF(B374="","",IF(C374="",NOW(),C374))</f>
      </c>
    </row>
    <row r="375">
      <c r="A375" s="4">
        <f>IF(B375="","",ROW()-1)</f>
      </c>
      <c r="B375" s="5"/>
      <c r="C375" s="2">
        <f>IF(B375="","",IF(C375="",NOW(),C375))</f>
      </c>
    </row>
    <row r="376">
      <c r="A376" s="4">
        <f>IF(B376="","",ROW()-1)</f>
      </c>
      <c r="B376" s="5"/>
      <c r="C376" s="2">
        <f>IF(B376="","",IF(C376="",NOW(),C376))</f>
      </c>
    </row>
    <row r="377">
      <c r="A377" s="4">
        <f>IF(B377="","",ROW()-1)</f>
      </c>
      <c r="B377" s="5"/>
      <c r="C377" s="2">
        <f>IF(B377="","",IF(C377="",NOW(),C377))</f>
      </c>
    </row>
    <row r="378">
      <c r="A378" s="4">
        <f>IF(B378="","",ROW()-1)</f>
      </c>
      <c r="B378" s="5"/>
      <c r="C378" s="2">
        <f>IF(B378="","",IF(C378="",NOW(),C378))</f>
      </c>
    </row>
    <row r="379">
      <c r="A379" s="4">
        <f>IF(B379="","",ROW()-1)</f>
      </c>
      <c r="B379" s="5"/>
      <c r="C379" s="2">
        <f>IF(B379="","",IF(C379="",NOW(),C379))</f>
      </c>
    </row>
    <row r="380">
      <c r="A380" s="4">
        <f>IF(B380="","",ROW()-1)</f>
      </c>
      <c r="B380" s="5"/>
      <c r="C380" s="2">
        <f>IF(B380="","",IF(C380="",NOW(),C380))</f>
      </c>
    </row>
    <row r="381">
      <c r="A381" s="4">
        <f>IF(B381="","",ROW()-1)</f>
      </c>
      <c r="B381" s="5"/>
      <c r="C381" s="2">
        <f>IF(B381="","",IF(C381="",NOW(),C381))</f>
      </c>
    </row>
    <row r="382">
      <c r="A382" s="4">
        <f>IF(B382="","",ROW()-1)</f>
      </c>
      <c r="B382" s="5"/>
      <c r="C382" s="2">
        <f>IF(B382="","",IF(C382="",NOW(),C382))</f>
      </c>
    </row>
    <row r="383">
      <c r="A383" s="4">
        <f>IF(B383="","",ROW()-1)</f>
      </c>
      <c r="B383" s="5"/>
      <c r="C383" s="2">
        <f>IF(B383="","",IF(C383="",NOW(),C383))</f>
      </c>
    </row>
    <row r="384">
      <c r="A384" s="4">
        <f>IF(B384="","",ROW()-1)</f>
      </c>
      <c r="B384" s="5"/>
      <c r="C384" s="2">
        <f>IF(B384="","",IF(C384="",NOW(),C384))</f>
      </c>
    </row>
    <row r="385">
      <c r="A385" s="4">
        <f>IF(B385="","",ROW()-1)</f>
      </c>
      <c r="B385" s="5"/>
      <c r="C385" s="2">
        <f>IF(B385="","",IF(C385="",NOW(),C385))</f>
      </c>
    </row>
    <row r="386">
      <c r="A386" s="4">
        <f>IF(B386="","",ROW()-1)</f>
      </c>
      <c r="B386" s="5"/>
      <c r="C386" s="2">
        <f>IF(B386="","",IF(C386="",NOW(),C386))</f>
      </c>
    </row>
    <row r="387">
      <c r="A387" s="4">
        <f>IF(B387="","",ROW()-1)</f>
      </c>
      <c r="B387" s="5"/>
      <c r="C387" s="2">
        <f>IF(B387="","",IF(C387="",NOW(),C387))</f>
      </c>
    </row>
    <row r="388">
      <c r="A388" s="4">
        <f>IF(B388="","",ROW()-1)</f>
      </c>
      <c r="B388" s="5"/>
      <c r="C388" s="2">
        <f>IF(B388="","",IF(C388="",NOW(),C388))</f>
      </c>
    </row>
    <row r="389">
      <c r="A389" s="4">
        <f>IF(B389="","",ROW()-1)</f>
      </c>
      <c r="B389" s="5"/>
      <c r="C389" s="2">
        <f>IF(B389="","",IF(C389="",NOW(),C389))</f>
      </c>
    </row>
    <row r="390">
      <c r="A390" s="4">
        <f>IF(B390="","",ROW()-1)</f>
      </c>
      <c r="B390" s="5"/>
      <c r="C390" s="2">
        <f>IF(B390="","",IF(C390="",NOW(),C390))</f>
      </c>
    </row>
    <row r="391">
      <c r="A391" s="4">
        <f>IF(B391="","",ROW()-1)</f>
      </c>
      <c r="B391" s="5"/>
      <c r="C391" s="2">
        <f>IF(B391="","",IF(C391="",NOW(),C391))</f>
      </c>
    </row>
    <row r="392">
      <c r="A392" s="4">
        <f>IF(B392="","",ROW()-1)</f>
      </c>
      <c r="B392" s="5"/>
      <c r="C392" s="2">
        <f>IF(B392="","",IF(C392="",NOW(),C392))</f>
      </c>
    </row>
    <row r="393">
      <c r="A393" s="4">
        <f>IF(B393="","",ROW()-1)</f>
      </c>
      <c r="B393" s="5"/>
      <c r="C393" s="2">
        <f>IF(B393="","",IF(C393="",NOW(),C393))</f>
      </c>
    </row>
    <row r="394">
      <c r="A394" s="4">
        <f>IF(B394="","",ROW()-1)</f>
      </c>
      <c r="B394" s="5"/>
      <c r="C394" s="2">
        <f>IF(B394="","",IF(C394="",NOW(),C394))</f>
      </c>
    </row>
    <row r="395">
      <c r="A395" s="4">
        <f>IF(B395="","",ROW()-1)</f>
      </c>
      <c r="B395" s="5"/>
      <c r="C395" s="2">
        <f>IF(B395="","",IF(C395="",NOW(),C395))</f>
      </c>
    </row>
    <row r="396">
      <c r="A396" s="4">
        <f>IF(B396="","",ROW()-1)</f>
      </c>
      <c r="B396" s="5"/>
      <c r="C396" s="2">
        <f>IF(B396="","",IF(C396="",NOW(),C396))</f>
      </c>
    </row>
    <row r="397">
      <c r="A397" s="4">
        <f>IF(B397="","",ROW()-1)</f>
      </c>
      <c r="B397" s="5"/>
      <c r="C397" s="2">
        <f>IF(B397="","",IF(C397="",NOW(),C397))</f>
      </c>
    </row>
    <row r="398">
      <c r="A398" s="4">
        <f>IF(B398="","",ROW()-1)</f>
      </c>
      <c r="B398" s="5"/>
      <c r="C398" s="2">
        <f>IF(B398="","",IF(C398="",NOW(),C398))</f>
      </c>
    </row>
    <row r="399">
      <c r="A399" s="4">
        <f>IF(B399="","",ROW()-1)</f>
      </c>
      <c r="B399" s="5"/>
      <c r="C399" s="2">
        <f>IF(B399="","",IF(C399="",NOW(),C399))</f>
      </c>
    </row>
    <row r="400">
      <c r="A400" s="4">
        <f>IF(B400="","",ROW()-1)</f>
      </c>
      <c r="B400" s="5"/>
      <c r="C400" s="2">
        <f>IF(B400="","",IF(C400="",NOW(),C400))</f>
      </c>
    </row>
    <row r="401">
      <c r="A401" s="4">
        <f>IF(B401="","",ROW()-1)</f>
      </c>
      <c r="B401" s="5"/>
      <c r="C401" s="2">
        <f>IF(B401="","",IF(C401="",NOW(),C401))</f>
      </c>
    </row>
    <row r="402">
      <c r="A402" s="4">
        <f>IF(B402="","",ROW()-1)</f>
      </c>
      <c r="B402" s="5"/>
      <c r="C402" s="2">
        <f>IF(B402="","",IF(C402="",NOW(),C402))</f>
      </c>
    </row>
    <row r="403">
      <c r="A403" s="4">
        <f>IF(B403="","",ROW()-1)</f>
      </c>
      <c r="B403" s="5"/>
      <c r="C403" s="2">
        <f>IF(B403="","",IF(C403="",NOW(),C403))</f>
      </c>
    </row>
    <row r="404">
      <c r="A404" s="4">
        <f>IF(B404="","",ROW()-1)</f>
      </c>
      <c r="B404" s="5"/>
      <c r="C404" s="2">
        <f>IF(B404="","",IF(C404="",NOW(),C404))</f>
      </c>
    </row>
    <row r="405">
      <c r="A405" s="4">
        <f>IF(B405="","",ROW()-1)</f>
      </c>
      <c r="B405" s="5"/>
      <c r="C405" s="2">
        <f>IF(B405="","",IF(C405="",NOW(),C405))</f>
      </c>
    </row>
    <row r="406">
      <c r="A406" s="4">
        <f>IF(B406="","",ROW()-1)</f>
      </c>
      <c r="B406" s="5"/>
      <c r="C406" s="2">
        <f>IF(B406="","",IF(C406="",NOW(),C406))</f>
      </c>
    </row>
    <row r="407">
      <c r="A407" s="4">
        <f>IF(B407="","",ROW()-1)</f>
      </c>
      <c r="B407" s="5"/>
      <c r="C407" s="2">
        <f>IF(B407="","",IF(C407="",NOW(),C407))</f>
      </c>
    </row>
    <row r="408">
      <c r="A408" s="4">
        <f>IF(B408="","",ROW()-1)</f>
      </c>
      <c r="B408" s="5"/>
      <c r="C408" s="2">
        <f>IF(B408="","",IF(C408="",NOW(),C408))</f>
      </c>
    </row>
    <row r="409">
      <c r="A409" s="4">
        <f>IF(B409="","",ROW()-1)</f>
      </c>
      <c r="B409" s="5"/>
      <c r="C409" s="2">
        <f>IF(B409="","",IF(C409="",NOW(),C409))</f>
      </c>
    </row>
    <row r="410">
      <c r="A410" s="4">
        <f>IF(B410="","",ROW()-1)</f>
      </c>
      <c r="B410" s="5"/>
      <c r="C410" s="2">
        <f>IF(B410="","",IF(C410="",NOW(),C410))</f>
      </c>
    </row>
    <row r="411">
      <c r="A411" s="4">
        <f>IF(B411="","",ROW()-1)</f>
      </c>
      <c r="B411" s="5"/>
      <c r="C411" s="2">
        <f>IF(B411="","",IF(C411="",NOW(),C411))</f>
      </c>
    </row>
    <row r="412">
      <c r="A412" s="4">
        <f>IF(B412="","",ROW()-1)</f>
      </c>
      <c r="B412" s="5"/>
      <c r="C412" s="2">
        <f>IF(B412="","",IF(C412="",NOW(),C412))</f>
      </c>
    </row>
    <row r="413">
      <c r="A413" s="4">
        <f>IF(B413="","",ROW()-1)</f>
      </c>
      <c r="B413" s="5"/>
      <c r="C413" s="2">
        <f>IF(B413="","",IF(C413="",NOW(),C413))</f>
      </c>
    </row>
    <row r="414">
      <c r="A414" s="4">
        <f>IF(B414="","",ROW()-1)</f>
      </c>
      <c r="B414" s="5"/>
      <c r="C414" s="2">
        <f>IF(B414="","",IF(C414="",NOW(),C414))</f>
      </c>
    </row>
    <row r="415">
      <c r="A415" s="4">
        <f>IF(B415="","",ROW()-1)</f>
      </c>
      <c r="B415" s="5"/>
      <c r="C415" s="2">
        <f>IF(B415="","",IF(C415="",NOW(),C415))</f>
      </c>
    </row>
    <row r="416">
      <c r="A416" s="4">
        <f>IF(B416="","",ROW()-1)</f>
      </c>
      <c r="B416" s="5"/>
      <c r="C416" s="2">
        <f>IF(B416="","",IF(C416="",NOW(),C416))</f>
      </c>
    </row>
    <row r="417">
      <c r="A417" s="4">
        <f>IF(B417="","",ROW()-1)</f>
      </c>
      <c r="B417" s="5"/>
      <c r="C417" s="2">
        <f>IF(B417="","",IF(C417="",NOW(),C417))</f>
      </c>
    </row>
    <row r="418">
      <c r="A418" s="4">
        <f>IF(B418="","",ROW()-1)</f>
      </c>
      <c r="B418" s="5"/>
      <c r="C418" s="2">
        <f>IF(B418="","",IF(C418="",NOW(),C418))</f>
      </c>
    </row>
    <row r="419">
      <c r="A419" s="4">
        <f>IF(B419="","",ROW()-1)</f>
      </c>
      <c r="B419" s="5"/>
      <c r="C419" s="2">
        <f>IF(B419="","",IF(C419="",NOW(),C419))</f>
      </c>
    </row>
    <row r="420">
      <c r="A420" s="4">
        <f>IF(B420="","",ROW()-1)</f>
      </c>
      <c r="B420" s="5"/>
      <c r="C420" s="2">
        <f>IF(B420="","",IF(C420="",NOW(),C420))</f>
      </c>
    </row>
    <row r="421">
      <c r="A421" s="4">
        <f>IF(B421="","",ROW()-1)</f>
      </c>
      <c r="B421" s="5"/>
      <c r="C421" s="2">
        <f>IF(B421="","",IF(C421="",NOW(),C421))</f>
      </c>
    </row>
    <row r="422">
      <c r="A422" s="4">
        <f>IF(B422="","",ROW()-1)</f>
      </c>
      <c r="B422" s="5"/>
      <c r="C422" s="2">
        <f>IF(B422="","",IF(C422="",NOW(),C422))</f>
      </c>
    </row>
    <row r="423">
      <c r="A423" s="4">
        <f>IF(B423="","",ROW()-1)</f>
      </c>
      <c r="B423" s="5"/>
      <c r="C423" s="2">
        <f>IF(B423="","",IF(C423="",NOW(),C423))</f>
      </c>
    </row>
    <row r="424">
      <c r="A424" s="4">
        <f>IF(B424="","",ROW()-1)</f>
      </c>
      <c r="B424" s="5"/>
      <c r="C424" s="2">
        <f>IF(B424="","",IF(C424="",NOW(),C424))</f>
      </c>
    </row>
    <row r="425">
      <c r="A425" s="4">
        <f>IF(B425="","",ROW()-1)</f>
      </c>
      <c r="B425" s="5"/>
      <c r="C425" s="2">
        <f>IF(B425="","",IF(C425="",NOW(),C425))</f>
      </c>
    </row>
    <row r="426">
      <c r="A426" s="4">
        <f>IF(B426="","",ROW()-1)</f>
      </c>
      <c r="B426" s="5"/>
      <c r="C426" s="2">
        <f>IF(B426="","",IF(C426="",NOW(),C426))</f>
      </c>
    </row>
    <row r="427">
      <c r="A427" s="4">
        <f>IF(B427="","",ROW()-1)</f>
      </c>
      <c r="B427" s="5"/>
      <c r="C427" s="2">
        <f>IF(B427="","",IF(C427="",NOW(),C427))</f>
      </c>
    </row>
    <row r="428">
      <c r="A428" s="4">
        <f>IF(B428="","",ROW()-1)</f>
      </c>
      <c r="B428" s="5"/>
      <c r="C428" s="2">
        <f>IF(B428="","",IF(C428="",NOW(),C428))</f>
      </c>
    </row>
    <row r="429">
      <c r="A429" s="4">
        <f>IF(B429="","",ROW()-1)</f>
      </c>
      <c r="B429" s="5"/>
      <c r="C429" s="2">
        <f>IF(B429="","",IF(C429="",NOW(),C429))</f>
      </c>
    </row>
    <row r="430">
      <c r="A430" s="4">
        <f>IF(B430="","",ROW()-1)</f>
      </c>
      <c r="B430" s="5"/>
      <c r="C430" s="2">
        <f>IF(B430="","",IF(C430="",NOW(),C430))</f>
      </c>
    </row>
    <row r="431">
      <c r="A431" s="4">
        <f>IF(B431="","",ROW()-1)</f>
      </c>
      <c r="B431" s="5"/>
      <c r="C431" s="2">
        <f>IF(B431="","",IF(C431="",NOW(),C431))</f>
      </c>
    </row>
    <row r="432">
      <c r="A432" s="4">
        <f>IF(B432="","",ROW()-1)</f>
      </c>
      <c r="B432" s="5"/>
      <c r="C432" s="2">
        <f>IF(B432="","",IF(C432="",NOW(),C432))</f>
      </c>
    </row>
    <row r="433">
      <c r="A433" s="4">
        <f>IF(B433="","",ROW()-1)</f>
      </c>
      <c r="B433" s="5"/>
      <c r="C433" s="2">
        <f>IF(B433="","",IF(C433="",NOW(),C433))</f>
      </c>
    </row>
    <row r="434">
      <c r="A434" s="4">
        <f>IF(B434="","",ROW()-1)</f>
      </c>
      <c r="B434" s="5"/>
      <c r="C434" s="2">
        <f>IF(B434="","",IF(C434="",NOW(),C434))</f>
      </c>
    </row>
    <row r="435">
      <c r="A435" s="4">
        <f>IF(B435="","",ROW()-1)</f>
      </c>
      <c r="B435" s="5"/>
      <c r="C435" s="2">
        <f>IF(B435="","",IF(C435="",NOW(),C435))</f>
      </c>
    </row>
    <row r="436">
      <c r="A436" s="4">
        <f>IF(B436="","",ROW()-1)</f>
      </c>
      <c r="B436" s="5"/>
      <c r="C436" s="2">
        <f>IF(B436="","",IF(C436="",NOW(),C436))</f>
      </c>
    </row>
    <row r="437">
      <c r="A437" s="4">
        <f>IF(B437="","",ROW()-1)</f>
      </c>
      <c r="B437" s="5"/>
      <c r="C437" s="2">
        <f>IF(B437="","",IF(C437="",NOW(),C437))</f>
      </c>
    </row>
    <row r="438">
      <c r="A438" s="4">
        <f>IF(B438="","",ROW()-1)</f>
      </c>
      <c r="B438" s="5"/>
      <c r="C438" s="2">
        <f>IF(B438="","",IF(C438="",NOW(),C438))</f>
      </c>
    </row>
    <row r="439">
      <c r="A439" s="4">
        <f>IF(B439="","",ROW()-1)</f>
      </c>
      <c r="B439" s="5"/>
      <c r="C439" s="2">
        <f>IF(B439="","",IF(C439="",NOW(),C439))</f>
      </c>
    </row>
    <row r="440">
      <c r="A440" s="4">
        <f>IF(B440="","",ROW()-1)</f>
      </c>
      <c r="B440" s="5"/>
      <c r="C440" s="2">
        <f>IF(B440="","",IF(C440="",NOW(),C440))</f>
      </c>
    </row>
    <row r="441">
      <c r="A441" s="4">
        <f>IF(B441="","",ROW()-1)</f>
      </c>
      <c r="B441" s="5"/>
      <c r="C441" s="2">
        <f>IF(B441="","",IF(C441="",NOW(),C441))</f>
      </c>
    </row>
    <row r="442">
      <c r="A442" s="4">
        <f>IF(B442="","",ROW()-1)</f>
      </c>
      <c r="B442" s="5"/>
      <c r="C442" s="2">
        <f>IF(B442="","",IF(C442="",NOW(),C442))</f>
      </c>
    </row>
    <row r="443">
      <c r="A443" s="4">
        <f>IF(B443="","",ROW()-1)</f>
      </c>
      <c r="B443" s="5"/>
      <c r="C443" s="2">
        <f>IF(B443="","",IF(C443="",NOW(),C443))</f>
      </c>
    </row>
    <row r="444">
      <c r="A444" s="4">
        <f>IF(B444="","",ROW()-1)</f>
      </c>
      <c r="B444" s="5"/>
      <c r="C444" s="2">
        <f>IF(B444="","",IF(C444="",NOW(),C444))</f>
      </c>
    </row>
    <row r="445">
      <c r="A445" s="4">
        <f>IF(B445="","",ROW()-1)</f>
      </c>
      <c r="B445" s="5"/>
      <c r="C445" s="2">
        <f>IF(B445="","",IF(C445="",NOW(),C445))</f>
      </c>
    </row>
    <row r="446">
      <c r="A446" s="4">
        <f>IF(B446="","",ROW()-1)</f>
      </c>
      <c r="B446" s="5"/>
      <c r="C446" s="2">
        <f>IF(B446="","",IF(C446="",NOW(),C446))</f>
      </c>
    </row>
    <row r="447">
      <c r="A447" s="4">
        <f>IF(B447="","",ROW()-1)</f>
      </c>
      <c r="B447" s="5"/>
      <c r="C447" s="2">
        <f>IF(B447="","",IF(C447="",NOW(),C447))</f>
      </c>
    </row>
    <row r="448">
      <c r="A448" s="4">
        <f>IF(B448="","",ROW()-1)</f>
      </c>
      <c r="B448" s="5"/>
      <c r="C448" s="2">
        <f>IF(B448="","",IF(C448="",NOW(),C448))</f>
      </c>
    </row>
    <row r="449">
      <c r="A449" s="4">
        <f>IF(B449="","",ROW()-1)</f>
      </c>
      <c r="B449" s="5"/>
      <c r="C449" s="2">
        <f>IF(B449="","",IF(C449="",NOW(),C449))</f>
      </c>
    </row>
    <row r="450">
      <c r="A450" s="4">
        <f>IF(B450="","",ROW()-1)</f>
      </c>
      <c r="B450" s="5"/>
      <c r="C450" s="2">
        <f>IF(B450="","",IF(C450="",NOW(),C450))</f>
      </c>
    </row>
    <row r="451">
      <c r="A451" s="4">
        <f>IF(B451="","",ROW()-1)</f>
      </c>
      <c r="B451" s="5"/>
      <c r="C451" s="2">
        <f>IF(B451="","",IF(C451="",NOW(),C451))</f>
      </c>
    </row>
    <row r="452">
      <c r="A452" s="4">
        <f>IF(B452="","",ROW()-1)</f>
      </c>
      <c r="B452" s="5"/>
      <c r="C452" s="2">
        <f>IF(B452="","",IF(C452="",NOW(),C452))</f>
      </c>
    </row>
    <row r="453">
      <c r="A453" s="4">
        <f>IF(B453="","",ROW()-1)</f>
      </c>
      <c r="B453" s="5"/>
      <c r="C453" s="2">
        <f>IF(B453="","",IF(C453="",NOW(),C453))</f>
      </c>
    </row>
    <row r="454">
      <c r="A454" s="4">
        <f>IF(B454="","",ROW()-1)</f>
      </c>
      <c r="B454" s="5"/>
      <c r="C454" s="2">
        <f>IF(B454="","",IF(C454="",NOW(),C454))</f>
      </c>
    </row>
    <row r="455">
      <c r="A455" s="4">
        <f>IF(B455="","",ROW()-1)</f>
      </c>
      <c r="B455" s="5"/>
      <c r="C455" s="2">
        <f>IF(B455="","",IF(C455="",NOW(),C455))</f>
      </c>
    </row>
    <row r="456">
      <c r="A456" s="4">
        <f>IF(B456="","",ROW()-1)</f>
      </c>
      <c r="B456" s="5"/>
      <c r="C456" s="2">
        <f>IF(B456="","",IF(C456="",NOW(),C456))</f>
      </c>
    </row>
    <row r="457">
      <c r="A457" s="4">
        <f>IF(B457="","",ROW()-1)</f>
      </c>
      <c r="B457" s="5"/>
      <c r="C457" s="2">
        <f>IF(B457="","",IF(C457="",NOW(),C457))</f>
      </c>
    </row>
    <row r="458">
      <c r="A458" s="4">
        <f>IF(B458="","",ROW()-1)</f>
      </c>
      <c r="B458" s="5"/>
      <c r="C458" s="2">
        <f>IF(B458="","",IF(C458="",NOW(),C458))</f>
      </c>
    </row>
    <row r="459">
      <c r="A459" s="4">
        <f>IF(B459="","",ROW()-1)</f>
      </c>
      <c r="B459" s="5"/>
      <c r="C459" s="2">
        <f>IF(B459="","",IF(C459="",NOW(),C459))</f>
      </c>
    </row>
    <row r="460">
      <c r="A460" s="4">
        <f>IF(B460="","",ROW()-1)</f>
      </c>
      <c r="B460" s="5"/>
      <c r="C460" s="2">
        <f>IF(B460="","",IF(C460="",NOW(),C460))</f>
      </c>
    </row>
    <row r="461">
      <c r="A461" s="4">
        <f>IF(B461="","",ROW()-1)</f>
      </c>
      <c r="B461" s="5"/>
      <c r="C461" s="2">
        <f>IF(B461="","",IF(C461="",NOW(),C461))</f>
      </c>
    </row>
    <row r="462">
      <c r="A462" s="4">
        <f>IF(B462="","",ROW()-1)</f>
      </c>
      <c r="B462" s="5"/>
      <c r="C462" s="2">
        <f>IF(B462="","",IF(C462="",NOW(),C462))</f>
      </c>
    </row>
    <row r="463">
      <c r="A463" s="4">
        <f>IF(B463="","",ROW()-1)</f>
      </c>
      <c r="B463" s="5"/>
      <c r="C463" s="2">
        <f>IF(B463="","",IF(C463="",NOW(),C463))</f>
      </c>
    </row>
    <row r="464">
      <c r="A464" s="4">
        <f>IF(B464="","",ROW()-1)</f>
      </c>
      <c r="B464" s="5"/>
      <c r="C464" s="2">
        <f>IF(B464="","",IF(C464="",NOW(),C464))</f>
      </c>
    </row>
    <row r="465">
      <c r="A465" s="4">
        <f>IF(B465="","",ROW()-1)</f>
      </c>
      <c r="B465" s="5"/>
      <c r="C465" s="2">
        <f>IF(B465="","",IF(C465="",NOW(),C465))</f>
      </c>
    </row>
    <row r="466">
      <c r="A466" s="4">
        <f>IF(B466="","",ROW()-1)</f>
      </c>
      <c r="B466" s="5"/>
      <c r="C466" s="2">
        <f>IF(B466="","",IF(C466="",NOW(),C466))</f>
      </c>
    </row>
    <row r="467">
      <c r="A467" s="4">
        <f>IF(B467="","",ROW()-1)</f>
      </c>
      <c r="B467" s="5"/>
      <c r="C467" s="2">
        <f>IF(B467="","",IF(C467="",NOW(),C467))</f>
      </c>
    </row>
    <row r="468">
      <c r="A468" s="4">
        <f>IF(B468="","",ROW()-1)</f>
      </c>
      <c r="B468" s="5"/>
      <c r="C468" s="2">
        <f>IF(B468="","",IF(C468="",NOW(),C468))</f>
      </c>
    </row>
    <row r="469">
      <c r="A469" s="4">
        <f>IF(B469="","",ROW()-1)</f>
      </c>
      <c r="B469" s="5"/>
      <c r="C469" s="2">
        <f>IF(B469="","",IF(C469="",NOW(),C469))</f>
      </c>
    </row>
    <row r="470">
      <c r="A470" s="4">
        <f>IF(B470="","",ROW()-1)</f>
      </c>
      <c r="B470" s="5"/>
      <c r="C470" s="2">
        <f>IF(B470="","",IF(C470="",NOW(),C470))</f>
      </c>
    </row>
    <row r="471">
      <c r="A471" s="4">
        <f>IF(B471="","",ROW()-1)</f>
      </c>
      <c r="B471" s="5"/>
      <c r="C471" s="2">
        <f>IF(B471="","",IF(C471="",NOW(),C471))</f>
      </c>
    </row>
    <row r="472">
      <c r="A472" s="4">
        <f>IF(B472="","",ROW()-1)</f>
      </c>
      <c r="B472" s="5"/>
      <c r="C472" s="2">
        <f>IF(B472="","",IF(C472="",NOW(),C472))</f>
      </c>
    </row>
    <row r="473">
      <c r="A473" s="4">
        <f>IF(B473="","",ROW()-1)</f>
      </c>
      <c r="B473" s="5"/>
      <c r="C473" s="2">
        <f>IF(B473="","",IF(C473="",NOW(),C473))</f>
      </c>
    </row>
    <row r="474">
      <c r="A474" s="4">
        <f>IF(B474="","",ROW()-1)</f>
      </c>
      <c r="B474" s="5"/>
      <c r="C474" s="2">
        <f>IF(B474="","",IF(C474="",NOW(),C474))</f>
      </c>
    </row>
    <row r="475">
      <c r="A475" s="4">
        <f>IF(B475="","",ROW()-1)</f>
      </c>
      <c r="B475" s="5"/>
      <c r="C475" s="2">
        <f>IF(B475="","",IF(C475="",NOW(),C475))</f>
      </c>
    </row>
    <row r="476">
      <c r="A476" s="4">
        <f>IF(B476="","",ROW()-1)</f>
      </c>
      <c r="B476" s="5"/>
      <c r="C476" s="2">
        <f>IF(B476="","",IF(C476="",NOW(),C476))</f>
      </c>
    </row>
    <row r="477">
      <c r="A477" s="4">
        <f>IF(B477="","",ROW()-1)</f>
      </c>
      <c r="B477" s="5"/>
      <c r="C477" s="2">
        <f>IF(B477="","",IF(C477="",NOW(),C477))</f>
      </c>
    </row>
    <row r="478">
      <c r="A478" s="4">
        <f>IF(B478="","",ROW()-1)</f>
      </c>
      <c r="B478" s="5"/>
      <c r="C478" s="2">
        <f>IF(B478="","",IF(C478="",NOW(),C478))</f>
      </c>
    </row>
    <row r="479">
      <c r="A479" s="4">
        <f>IF(B479="","",ROW()-1)</f>
      </c>
      <c r="B479" s="5"/>
      <c r="C479" s="2">
        <f>IF(B479="","",IF(C479="",NOW(),C479))</f>
      </c>
    </row>
    <row r="480">
      <c r="A480" s="4">
        <f>IF(B480="","",ROW()-1)</f>
      </c>
      <c r="B480" s="5"/>
      <c r="C480" s="2">
        <f>IF(B480="","",IF(C480="",NOW(),C480))</f>
      </c>
    </row>
    <row r="481">
      <c r="A481" s="4">
        <f>IF(B481="","",ROW()-1)</f>
      </c>
      <c r="B481" s="5"/>
      <c r="C481" s="2">
        <f>IF(B481="","",IF(C481="",NOW(),C481))</f>
      </c>
    </row>
    <row r="482">
      <c r="A482" s="4">
        <f>IF(B482="","",ROW()-1)</f>
      </c>
      <c r="B482" s="5"/>
      <c r="C482" s="2">
        <f>IF(B482="","",IF(C482="",NOW(),C482))</f>
      </c>
    </row>
    <row r="483">
      <c r="A483" s="4">
        <f>IF(B483="","",ROW()-1)</f>
      </c>
      <c r="B483" s="5"/>
      <c r="C483" s="2">
        <f>IF(B483="","",IF(C483="",NOW(),C483))</f>
      </c>
    </row>
    <row r="484">
      <c r="A484" s="4">
        <f>IF(B484="","",ROW()-1)</f>
      </c>
      <c r="B484" s="5"/>
      <c r="C484" s="2">
        <f>IF(B484="","",IF(C484="",NOW(),C484))</f>
      </c>
    </row>
    <row r="485">
      <c r="A485" s="4">
        <f>IF(B485="","",ROW()-1)</f>
      </c>
      <c r="B485" s="5"/>
      <c r="C485" s="2">
        <f>IF(B485="","",IF(C485="",NOW(),C485))</f>
      </c>
    </row>
    <row r="486">
      <c r="A486" s="4">
        <f>IF(B486="","",ROW()-1)</f>
      </c>
      <c r="B486" s="5"/>
      <c r="C486" s="2">
        <f>IF(B486="","",IF(C486="",NOW(),C486))</f>
      </c>
    </row>
    <row r="487">
      <c r="A487" s="4">
        <f>IF(B487="","",ROW()-1)</f>
      </c>
      <c r="B487" s="5"/>
      <c r="C487" s="2">
        <f>IF(B487="","",IF(C487="",NOW(),C487))</f>
      </c>
    </row>
    <row r="488">
      <c r="A488" s="4">
        <f>IF(B488="","",ROW()-1)</f>
      </c>
      <c r="B488" s="5"/>
      <c r="C488" s="2">
        <f>IF(B488="","",IF(C488="",NOW(),C488))</f>
      </c>
    </row>
    <row r="489">
      <c r="A489" s="4">
        <f>IF(B489="","",ROW()-1)</f>
      </c>
      <c r="B489" s="5"/>
      <c r="C489" s="2">
        <f>IF(B489="","",IF(C489="",NOW(),C489))</f>
      </c>
    </row>
    <row r="490">
      <c r="A490" s="4">
        <f>IF(B490="","",ROW()-1)</f>
      </c>
      <c r="B490" s="5"/>
      <c r="C490" s="2">
        <f>IF(B490="","",IF(C490="",NOW(),C490))</f>
      </c>
    </row>
    <row r="491">
      <c r="A491" s="4">
        <f>IF(B491="","",ROW()-1)</f>
      </c>
      <c r="B491" s="5"/>
      <c r="C491" s="2">
        <f>IF(B491="","",IF(C491="",NOW(),C491))</f>
      </c>
    </row>
    <row r="492">
      <c r="A492" s="4">
        <f>IF(B492="","",ROW()-1)</f>
      </c>
      <c r="B492" s="5"/>
      <c r="C492" s="2">
        <f>IF(B492="","",IF(C492="",NOW(),C492))</f>
      </c>
    </row>
    <row r="493">
      <c r="A493" s="4">
        <f>IF(B493="","",ROW()-1)</f>
      </c>
      <c r="B493" s="5"/>
      <c r="C493" s="2">
        <f>IF(B493="","",IF(C493="",NOW(),C493))</f>
      </c>
    </row>
    <row r="494">
      <c r="A494" s="4">
        <f>IF(B494="","",ROW()-1)</f>
      </c>
      <c r="B494" s="5"/>
      <c r="C494" s="2">
        <f>IF(B494="","",IF(C494="",NOW(),C494))</f>
      </c>
    </row>
    <row r="495">
      <c r="A495" s="4">
        <f>IF(B495="","",ROW()-1)</f>
      </c>
      <c r="B495" s="5"/>
      <c r="C495" s="2">
        <f>IF(B495="","",IF(C495="",NOW(),C495))</f>
      </c>
    </row>
    <row r="496">
      <c r="A496" s="4">
        <f>IF(B496="","",ROW()-1)</f>
      </c>
      <c r="B496" s="5"/>
      <c r="C496" s="2">
        <f>IF(B496="","",IF(C496="",NOW(),C496))</f>
      </c>
    </row>
    <row r="497">
      <c r="A497" s="4">
        <f>IF(B497="","",ROW()-1)</f>
      </c>
      <c r="B497" s="5"/>
      <c r="C497" s="2">
        <f>IF(B497="","",IF(C497="",NOW(),C497))</f>
      </c>
    </row>
    <row r="498">
      <c r="A498" s="4">
        <f>IF(B498="","",ROW()-1)</f>
      </c>
      <c r="B498" s="5"/>
      <c r="C498" s="2">
        <f>IF(B498="","",IF(C498="",NOW(),C498))</f>
      </c>
    </row>
    <row r="499">
      <c r="A499" s="4">
        <f>IF(B499="","",ROW()-1)</f>
      </c>
      <c r="B499" s="5"/>
      <c r="C499" s="2">
        <f>IF(B499="","",IF(C499="",NOW(),C499))</f>
      </c>
    </row>
    <row r="500">
      <c r="A500" s="4">
        <f>IF(B500="","",ROW()-1)</f>
      </c>
      <c r="B500" s="5"/>
      <c r="C500" s="2">
        <f>IF(B500="","",IF(C500="",NOW(),C500))</f>
      </c>
    </row>
    <row r="501">
      <c r="A501" s="4">
        <f>IF(B501="","",ROW()-1)</f>
      </c>
      <c r="B501" s="5"/>
      <c r="C501" s="2">
        <f>IF(B501="","",IF(C501="",NOW(),C501))</f>
      </c>
    </row>
    <row r="502">
      <c r="A502" s="4">
        <f>IF(B502="","",ROW()-1)</f>
      </c>
      <c r="B502" s="5"/>
      <c r="C502" s="2">
        <f>IF(B502="","",IF(C502="",NOW(),C502))</f>
      </c>
    </row>
    <row r="503">
      <c r="A503" s="4">
        <f>IF(B503="","",ROW()-1)</f>
      </c>
      <c r="B503" s="5"/>
      <c r="C503" s="2">
        <f>IF(B503="","",IF(C503="",NOW(),C503))</f>
      </c>
    </row>
    <row r="504">
      <c r="A504" s="4">
        <f>IF(B504="","",ROW()-1)</f>
      </c>
      <c r="B504" s="5"/>
      <c r="C504" s="2">
        <f>IF(B504="","",IF(C504="",NOW(),C504))</f>
      </c>
    </row>
    <row r="505">
      <c r="A505" s="4">
        <f>IF(B505="","",ROW()-1)</f>
      </c>
      <c r="B505" s="5"/>
      <c r="C505" s="2">
        <f>IF(B505="","",IF(C505="",NOW(),C505))</f>
      </c>
    </row>
    <row r="506">
      <c r="A506" s="4">
        <f>IF(B506="","",ROW()-1)</f>
      </c>
      <c r="B506" s="5"/>
      <c r="C506" s="2">
        <f>IF(B506="","",IF(C506="",NOW(),C506))</f>
      </c>
    </row>
    <row r="507">
      <c r="A507" s="4">
        <f>IF(B507="","",ROW()-1)</f>
      </c>
      <c r="B507" s="5"/>
      <c r="C507" s="2">
        <f>IF(B507="","",IF(C507="",NOW(),C507))</f>
      </c>
    </row>
    <row r="508">
      <c r="A508" s="4">
        <f>IF(B508="","",ROW()-1)</f>
      </c>
      <c r="B508" s="5"/>
      <c r="C508" s="2">
        <f>IF(B508="","",IF(C508="",NOW(),C508))</f>
      </c>
    </row>
    <row r="509">
      <c r="A509" s="4">
        <f>IF(B509="","",ROW()-1)</f>
      </c>
      <c r="B509" s="5"/>
      <c r="C509" s="2">
        <f>IF(B509="","",IF(C509="",NOW(),C509))</f>
      </c>
    </row>
    <row r="510">
      <c r="A510" s="4">
        <f>IF(B510="","",ROW()-1)</f>
      </c>
      <c r="B510" s="5"/>
      <c r="C510" s="2">
        <f>IF(B510="","",IF(C510="",NOW(),C510))</f>
      </c>
    </row>
    <row r="511">
      <c r="A511" s="4">
        <f>IF(B511="","",ROW()-1)</f>
      </c>
      <c r="B511" s="5"/>
      <c r="C511" s="2">
        <f>IF(B511="","",IF(C511="",NOW(),C511))</f>
      </c>
    </row>
    <row r="512">
      <c r="A512" s="4">
        <f>IF(B512="","",ROW()-1)</f>
      </c>
      <c r="B512" s="5"/>
      <c r="C512" s="2">
        <f>IF(B512="","",IF(C512="",NOW(),C512))</f>
      </c>
    </row>
    <row r="513">
      <c r="A513" s="4">
        <f>IF(B513="","",ROW()-1)</f>
      </c>
      <c r="B513" s="5"/>
      <c r="C513" s="2">
        <f>IF(B513="","",IF(C513="",NOW(),C513))</f>
      </c>
    </row>
    <row r="514">
      <c r="A514" s="4">
        <f>IF(B514="","",ROW()-1)</f>
      </c>
      <c r="B514" s="5"/>
      <c r="C514" s="2">
        <f>IF(B514="","",IF(C514="",NOW(),C514))</f>
      </c>
    </row>
    <row r="515">
      <c r="A515" s="4">
        <f>IF(B515="","",ROW()-1)</f>
      </c>
      <c r="B515" s="5"/>
      <c r="C515" s="2">
        <f>IF(B515="","",IF(C515="",NOW(),C515))</f>
      </c>
    </row>
    <row r="516">
      <c r="A516" s="4">
        <f>IF(B516="","",ROW()-1)</f>
      </c>
      <c r="B516" s="5"/>
      <c r="C516" s="2">
        <f>IF(B516="","",IF(C516="",NOW(),C516))</f>
      </c>
    </row>
    <row r="517">
      <c r="A517" s="4">
        <f>IF(B517="","",ROW()-1)</f>
      </c>
      <c r="B517" s="5"/>
      <c r="C517" s="2">
        <f>IF(B517="","",IF(C517="",NOW(),C517))</f>
      </c>
    </row>
    <row r="518">
      <c r="A518" s="4">
        <f>IF(B518="","",ROW()-1)</f>
      </c>
      <c r="B518" s="5"/>
      <c r="C518" s="2">
        <f>IF(B518="","",IF(C518="",NOW(),C518))</f>
      </c>
    </row>
    <row r="519">
      <c r="A519" s="4">
        <f>IF(B519="","",ROW()-1)</f>
      </c>
      <c r="B519" s="5"/>
      <c r="C519" s="2">
        <f>IF(B519="","",IF(C519="",NOW(),C519))</f>
      </c>
    </row>
    <row r="520">
      <c r="A520" s="4">
        <f>IF(B520="","",ROW()-1)</f>
      </c>
      <c r="B520" s="5"/>
      <c r="C520" s="2">
        <f>IF(B520="","",IF(C520="",NOW(),C520))</f>
      </c>
    </row>
    <row r="521">
      <c r="A521" s="4">
        <f>IF(B521="","",ROW()-1)</f>
      </c>
      <c r="B521" s="5"/>
      <c r="C521" s="2">
        <f>IF(B521="","",IF(C521="",NOW(),C521))</f>
      </c>
    </row>
    <row r="522">
      <c r="A522" s="4">
        <f>IF(B522="","",ROW()-1)</f>
      </c>
      <c r="B522" s="5"/>
      <c r="C522" s="2">
        <f>IF(B522="","",IF(C522="",NOW(),C522))</f>
      </c>
    </row>
    <row r="523">
      <c r="A523" s="4">
        <f>IF(B523="","",ROW()-1)</f>
      </c>
      <c r="B523" s="5"/>
      <c r="C523" s="2">
        <f>IF(B523="","",IF(C523="",NOW(),C523))</f>
      </c>
    </row>
    <row r="524">
      <c r="A524" s="4">
        <f>IF(B524="","",ROW()-1)</f>
      </c>
      <c r="B524" s="5"/>
      <c r="C524" s="2">
        <f>IF(B524="","",IF(C524="",NOW(),C524))</f>
      </c>
    </row>
    <row r="525">
      <c r="A525" s="4">
        <f>IF(B525="","",ROW()-1)</f>
      </c>
      <c r="B525" s="5"/>
      <c r="C525" s="2">
        <f>IF(B525="","",IF(C525="",NOW(),C525))</f>
      </c>
    </row>
    <row r="526">
      <c r="A526" s="4">
        <f>IF(B526="","",ROW()-1)</f>
      </c>
      <c r="B526" s="5"/>
      <c r="C526" s="2">
        <f>IF(B526="","",IF(C526="",NOW(),C526))</f>
      </c>
    </row>
    <row r="527">
      <c r="A527" s="4">
        <f>IF(B527="","",ROW()-1)</f>
      </c>
      <c r="B527" s="5"/>
      <c r="C527" s="2">
        <f>IF(B527="","",IF(C527="",NOW(),C527))</f>
      </c>
    </row>
    <row r="528">
      <c r="A528" s="4">
        <f>IF(B528="","",ROW()-1)</f>
      </c>
      <c r="B528" s="5"/>
      <c r="C528" s="2">
        <f>IF(B528="","",IF(C528="",NOW(),C528))</f>
      </c>
    </row>
    <row r="529">
      <c r="A529" s="4">
        <f>IF(B529="","",ROW()-1)</f>
      </c>
      <c r="B529" s="5"/>
      <c r="C529" s="2">
        <f>IF(B529="","",IF(C529="",NOW(),C529))</f>
      </c>
    </row>
    <row r="530">
      <c r="A530" s="4">
        <f>IF(B530="","",ROW()-1)</f>
      </c>
      <c r="B530" s="5"/>
      <c r="C530" s="2">
        <f>IF(B530="","",IF(C530="",NOW(),C530))</f>
      </c>
    </row>
    <row r="531">
      <c r="A531" s="4">
        <f>IF(B531="","",ROW()-1)</f>
      </c>
      <c r="B531" s="5"/>
      <c r="C531" s="2">
        <f>IF(B531="","",IF(C531="",NOW(),C531))</f>
      </c>
    </row>
    <row r="532">
      <c r="A532" s="4">
        <f>IF(B532="","",ROW()-1)</f>
      </c>
      <c r="B532" s="5"/>
      <c r="C532" s="2">
        <f>IF(B532="","",IF(C532="",NOW(),C532))</f>
      </c>
    </row>
    <row r="533">
      <c r="A533" s="4">
        <f>IF(B533="","",ROW()-1)</f>
      </c>
      <c r="B533" s="5"/>
      <c r="C533" s="2">
        <f>IF(B533="","",IF(C533="",NOW(),C533))</f>
      </c>
    </row>
    <row r="534">
      <c r="A534" s="4">
        <f>IF(B534="","",ROW()-1)</f>
      </c>
      <c r="B534" s="5"/>
      <c r="C534" s="2">
        <f>IF(B534="","",IF(C534="",NOW(),C534))</f>
      </c>
    </row>
    <row r="535">
      <c r="A535" s="4">
        <f>IF(B535="","",ROW()-1)</f>
      </c>
      <c r="B535" s="5"/>
      <c r="C535" s="2">
        <f>IF(B535="","",IF(C535="",NOW(),C535))</f>
      </c>
    </row>
    <row r="536">
      <c r="A536" s="4">
        <f>IF(B536="","",ROW()-1)</f>
      </c>
      <c r="B536" s="5"/>
      <c r="C536" s="2">
        <f>IF(B536="","",IF(C536="",NOW(),C536))</f>
      </c>
    </row>
    <row r="537">
      <c r="A537" s="4">
        <f>IF(B537="","",ROW()-1)</f>
      </c>
      <c r="B537" s="5"/>
      <c r="C537" s="2">
        <f>IF(B537="","",IF(C537="",NOW(),C537))</f>
      </c>
    </row>
    <row r="538">
      <c r="A538" s="4">
        <f>IF(B538="","",ROW()-1)</f>
      </c>
      <c r="B538" s="5"/>
      <c r="C538" s="2">
        <f>IF(B538="","",IF(C538="",NOW(),C538))</f>
      </c>
    </row>
    <row r="539">
      <c r="A539" s="4">
        <f>IF(B539="","",ROW()-1)</f>
      </c>
      <c r="B539" s="5"/>
      <c r="C539" s="2">
        <f>IF(B539="","",IF(C539="",NOW(),C539))</f>
      </c>
    </row>
    <row r="540">
      <c r="A540" s="4">
        <f>IF(B540="","",ROW()-1)</f>
      </c>
      <c r="B540" s="5"/>
      <c r="C540" s="2">
        <f>IF(B540="","",IF(C540="",NOW(),C540))</f>
      </c>
    </row>
    <row r="541">
      <c r="A541" s="4">
        <f>IF(B541="","",ROW()-1)</f>
      </c>
      <c r="B541" s="5"/>
      <c r="C541" s="2">
        <f>IF(B541="","",IF(C541="",NOW(),C541))</f>
      </c>
    </row>
    <row r="542">
      <c r="A542" s="4">
        <f>IF(B542="","",ROW()-1)</f>
      </c>
      <c r="B542" s="5"/>
      <c r="C542" s="2">
        <f>IF(B542="","",IF(C542="",NOW(),C542))</f>
      </c>
    </row>
    <row r="543">
      <c r="A543" s="4">
        <f>IF(B543="","",ROW()-1)</f>
      </c>
      <c r="B543" s="5"/>
      <c r="C543" s="2">
        <f>IF(B543="","",IF(C543="",NOW(),C543))</f>
      </c>
    </row>
    <row r="544">
      <c r="A544" s="4">
        <f>IF(B544="","",ROW()-1)</f>
      </c>
      <c r="B544" s="5"/>
      <c r="C544" s="2">
        <f>IF(B544="","",IF(C544="",NOW(),C544))</f>
      </c>
    </row>
    <row r="545">
      <c r="A545" s="4">
        <f>IF(B545="","",ROW()-1)</f>
      </c>
      <c r="B545" s="5"/>
      <c r="C545" s="2">
        <f>IF(B545="","",IF(C545="",NOW(),C545))</f>
      </c>
    </row>
    <row r="546">
      <c r="A546" s="4">
        <f>IF(B546="","",ROW()-1)</f>
      </c>
      <c r="B546" s="5"/>
      <c r="C546" s="2">
        <f>IF(B546="","",IF(C546="",NOW(),C546))</f>
      </c>
    </row>
    <row r="547">
      <c r="A547" s="4">
        <f>IF(B547="","",ROW()-1)</f>
      </c>
      <c r="B547" s="5"/>
      <c r="C547" s="2">
        <f>IF(B547="","",IF(C547="",NOW(),C547))</f>
      </c>
    </row>
    <row r="548">
      <c r="A548" s="4">
        <f>IF(B548="","",ROW()-1)</f>
      </c>
      <c r="B548" s="5"/>
      <c r="C548" s="2">
        <f>IF(B548="","",IF(C548="",NOW(),C548))</f>
      </c>
    </row>
    <row r="549">
      <c r="A549" s="4">
        <f>IF(B549="","",ROW()-1)</f>
      </c>
      <c r="B549" s="5"/>
      <c r="C549" s="2">
        <f>IF(B549="","",IF(C549="",NOW(),C549))</f>
      </c>
    </row>
    <row r="550">
      <c r="A550" s="4">
        <f>IF(B550="","",ROW()-1)</f>
      </c>
      <c r="B550" s="5"/>
      <c r="C550" s="2">
        <f>IF(B550="","",IF(C550="",NOW(),C550))</f>
      </c>
    </row>
    <row r="551">
      <c r="A551" s="4">
        <f>IF(B551="","",ROW()-1)</f>
      </c>
      <c r="B551" s="5"/>
      <c r="C551" s="2">
        <f>IF(B551="","",IF(C551="",NOW(),C551))</f>
      </c>
    </row>
    <row r="552">
      <c r="A552" s="4">
        <f>IF(B552="","",ROW()-1)</f>
      </c>
      <c r="B552" s="5"/>
      <c r="C552" s="2">
        <f>IF(B552="","",IF(C552="",NOW(),C552))</f>
      </c>
    </row>
    <row r="553">
      <c r="A553" s="4">
        <f>IF(B553="","",ROW()-1)</f>
      </c>
      <c r="B553" s="5"/>
      <c r="C553" s="2">
        <f>IF(B553="","",IF(C553="",NOW(),C553))</f>
      </c>
    </row>
    <row r="554">
      <c r="A554" s="4">
        <f>IF(B554="","",ROW()-1)</f>
      </c>
      <c r="B554" s="5"/>
      <c r="C554" s="2">
        <f>IF(B554="","",IF(C554="",NOW(),C554))</f>
      </c>
    </row>
    <row r="555">
      <c r="A555" s="4">
        <f>IF(B555="","",ROW()-1)</f>
      </c>
      <c r="B555" s="5"/>
      <c r="C555" s="2">
        <f>IF(B555="","",IF(C555="",NOW(),C555))</f>
      </c>
    </row>
    <row r="556">
      <c r="A556" s="4">
        <f>IF(B556="","",ROW()-1)</f>
      </c>
      <c r="B556" s="5"/>
      <c r="C556" s="2">
        <f>IF(B556="","",IF(C556="",NOW(),C556))</f>
      </c>
    </row>
    <row r="557">
      <c r="A557" s="4">
        <f>IF(B557="","",ROW()-1)</f>
      </c>
      <c r="B557" s="5"/>
      <c r="C557" s="2">
        <f>IF(B557="","",IF(C557="",NOW(),C557))</f>
      </c>
    </row>
    <row r="558">
      <c r="A558" s="4">
        <f>IF(B558="","",ROW()-1)</f>
      </c>
      <c r="B558" s="5"/>
      <c r="C558" s="2">
        <f>IF(B558="","",IF(C558="",NOW(),C558))</f>
      </c>
    </row>
    <row r="559">
      <c r="A559" s="4">
        <f>IF(B559="","",ROW()-1)</f>
      </c>
      <c r="B559" s="5"/>
      <c r="C559" s="2">
        <f>IF(B559="","",IF(C559="",NOW(),C559))</f>
      </c>
    </row>
    <row r="560">
      <c r="A560" s="4">
        <f>IF(B560="","",ROW()-1)</f>
      </c>
      <c r="B560" s="5"/>
      <c r="C560" s="2">
        <f>IF(B560="","",IF(C560="",NOW(),C560))</f>
      </c>
    </row>
    <row r="561">
      <c r="A561" s="4">
        <f>IF(B561="","",ROW()-1)</f>
      </c>
      <c r="B561" s="5"/>
      <c r="C561" s="2">
        <f>IF(B561="","",IF(C561="",NOW(),C561))</f>
      </c>
    </row>
    <row r="562">
      <c r="A562" s="4">
        <f>IF(B562="","",ROW()-1)</f>
      </c>
      <c r="B562" s="5"/>
      <c r="C562" s="2">
        <f>IF(B562="","",IF(C562="",NOW(),C562))</f>
      </c>
    </row>
    <row r="563">
      <c r="A563" s="4">
        <f>IF(B563="","",ROW()-1)</f>
      </c>
      <c r="B563" s="5"/>
      <c r="C563" s="2">
        <f>IF(B563="","",IF(C563="",NOW(),C563))</f>
      </c>
    </row>
    <row r="564">
      <c r="A564" s="4">
        <f>IF(B564="","",ROW()-1)</f>
      </c>
      <c r="B564" s="5"/>
      <c r="C564" s="2">
        <f>IF(B564="","",IF(C564="",NOW(),C564))</f>
      </c>
    </row>
    <row r="565">
      <c r="A565" s="4">
        <f>IF(B565="","",ROW()-1)</f>
      </c>
      <c r="B565" s="5"/>
      <c r="C565" s="2">
        <f>IF(B565="","",IF(C565="",NOW(),C565))</f>
      </c>
    </row>
    <row r="566">
      <c r="A566" s="4">
        <f>IF(B566="","",ROW()-1)</f>
      </c>
      <c r="B566" s="5"/>
      <c r="C566" s="2">
        <f>IF(B566="","",IF(C566="",NOW(),C566))</f>
      </c>
    </row>
    <row r="567">
      <c r="A567" s="4">
        <f>IF(B567="","",ROW()-1)</f>
      </c>
      <c r="B567" s="5"/>
      <c r="C567" s="2">
        <f>IF(B567="","",IF(C567="",NOW(),C567))</f>
      </c>
    </row>
    <row r="568">
      <c r="A568" s="4">
        <f>IF(B568="","",ROW()-1)</f>
      </c>
      <c r="B568" s="5"/>
      <c r="C568" s="2">
        <f>IF(B568="","",IF(C568="",NOW(),C568))</f>
      </c>
    </row>
    <row r="569">
      <c r="A569" s="4">
        <f>IF(B569="","",ROW()-1)</f>
      </c>
      <c r="B569" s="5"/>
      <c r="C569" s="2">
        <f>IF(B569="","",IF(C569="",NOW(),C569))</f>
      </c>
    </row>
    <row r="570">
      <c r="A570" s="4">
        <f>IF(B570="","",ROW()-1)</f>
      </c>
      <c r="B570" s="5"/>
      <c r="C570" s="2">
        <f>IF(B570="","",IF(C570="",NOW(),C570))</f>
      </c>
    </row>
    <row r="571">
      <c r="A571" s="4">
        <f>IF(B571="","",ROW()-1)</f>
      </c>
      <c r="B571" s="5"/>
      <c r="C571" s="2">
        <f>IF(B571="","",IF(C571="",NOW(),C571))</f>
      </c>
    </row>
    <row r="572">
      <c r="A572" s="4">
        <f>IF(B572="","",ROW()-1)</f>
      </c>
      <c r="B572" s="5"/>
      <c r="C572" s="2">
        <f>IF(B572="","",IF(C572="",NOW(),C572))</f>
      </c>
    </row>
    <row r="573">
      <c r="A573" s="4">
        <f>IF(B573="","",ROW()-1)</f>
      </c>
      <c r="B573" s="5"/>
      <c r="C573" s="2">
        <f>IF(B573="","",IF(C573="",NOW(),C573))</f>
      </c>
    </row>
    <row r="574">
      <c r="A574" s="4">
        <f>IF(B574="","",ROW()-1)</f>
      </c>
      <c r="B574" s="5"/>
      <c r="C574" s="2">
        <f>IF(B574="","",IF(C574="",NOW(),C574))</f>
      </c>
    </row>
    <row r="575">
      <c r="A575" s="4">
        <f>IF(B575="","",ROW()-1)</f>
      </c>
      <c r="B575" s="5"/>
      <c r="C575" s="2">
        <f>IF(B575="","",IF(C575="",NOW(),C575))</f>
      </c>
    </row>
    <row r="576">
      <c r="A576" s="4">
        <f>IF(B576="","",ROW()-1)</f>
      </c>
      <c r="B576" s="5"/>
      <c r="C576" s="2">
        <f>IF(B576="","",IF(C576="",NOW(),C576))</f>
      </c>
    </row>
    <row r="577">
      <c r="A577" s="4">
        <f>IF(B577="","",ROW()-1)</f>
      </c>
      <c r="B577" s="5"/>
      <c r="C577" s="2">
        <f>IF(B577="","",IF(C577="",NOW(),C577))</f>
      </c>
    </row>
    <row r="578">
      <c r="A578" s="4">
        <f>IF(B578="","",ROW()-1)</f>
      </c>
      <c r="B578" s="5"/>
      <c r="C578" s="2">
        <f>IF(B578="","",IF(C578="",NOW(),C578))</f>
      </c>
    </row>
    <row r="579">
      <c r="A579" s="4">
        <f>IF(B579="","",ROW()-1)</f>
      </c>
      <c r="B579" s="5"/>
      <c r="C579" s="2">
        <f>IF(B579="","",IF(C579="",NOW(),C579))</f>
      </c>
    </row>
    <row r="580">
      <c r="A580" s="4">
        <f>IF(B580="","",ROW()-1)</f>
      </c>
      <c r="B580" s="5"/>
      <c r="C580" s="2">
        <f>IF(B580="","",IF(C580="",NOW(),C580))</f>
      </c>
    </row>
    <row r="581">
      <c r="A581" s="4">
        <f>IF(B581="","",ROW()-1)</f>
      </c>
      <c r="B581" s="5"/>
      <c r="C581" s="2">
        <f>IF(B581="","",IF(C581="",NOW(),C581))</f>
      </c>
    </row>
    <row r="582">
      <c r="A582" s="4">
        <f>IF(B582="","",ROW()-1)</f>
      </c>
      <c r="B582" s="5"/>
      <c r="C582" s="2">
        <f>IF(B582="","",IF(C582="",NOW(),C582))</f>
      </c>
    </row>
    <row r="583">
      <c r="A583" s="4">
        <f>IF(B583="","",ROW()-1)</f>
      </c>
      <c r="B583" s="5"/>
      <c r="C583" s="2">
        <f>IF(B583="","",IF(C583="",NOW(),C583))</f>
      </c>
    </row>
    <row r="584">
      <c r="A584" s="4">
        <f>IF(B584="","",ROW()-1)</f>
      </c>
      <c r="B584" s="5"/>
      <c r="C584" s="2">
        <f>IF(B584="","",IF(C584="",NOW(),C584))</f>
      </c>
    </row>
    <row r="585">
      <c r="A585" s="4">
        <f>IF(B585="","",ROW()-1)</f>
      </c>
      <c r="B585" s="5"/>
      <c r="C585" s="2">
        <f>IF(B585="","",IF(C585="",NOW(),C585))</f>
      </c>
    </row>
    <row r="586">
      <c r="A586" s="4">
        <f>IF(B586="","",ROW()-1)</f>
      </c>
      <c r="B586" s="5"/>
      <c r="C586" s="2">
        <f>IF(B586="","",IF(C586="",NOW(),C586))</f>
      </c>
    </row>
    <row r="587">
      <c r="A587" s="4">
        <f>IF(B587="","",ROW()-1)</f>
      </c>
      <c r="B587" s="5"/>
      <c r="C587" s="2">
        <f>IF(B587="","",IF(C587="",NOW(),C587))</f>
      </c>
    </row>
    <row r="588">
      <c r="A588" s="4">
        <f>IF(B588="","",ROW()-1)</f>
      </c>
      <c r="B588" s="5"/>
      <c r="C588" s="2">
        <f>IF(B588="","",IF(C588="",NOW(),C588))</f>
      </c>
    </row>
    <row r="589">
      <c r="A589" s="4">
        <f>IF(B589="","",ROW()-1)</f>
      </c>
      <c r="B589" s="5"/>
      <c r="C589" s="2">
        <f>IF(B589="","",IF(C589="",NOW(),C589))</f>
      </c>
    </row>
    <row r="590">
      <c r="A590" s="4">
        <f>IF(B590="","",ROW()-1)</f>
      </c>
      <c r="B590" s="5"/>
      <c r="C590" s="2">
        <f>IF(B590="","",IF(C590="",NOW(),C590))</f>
      </c>
    </row>
    <row r="591">
      <c r="A591" s="4">
        <f>IF(B591="","",ROW()-1)</f>
      </c>
      <c r="B591" s="5"/>
      <c r="C591" s="2">
        <f>IF(B591="","",IF(C591="",NOW(),C591))</f>
      </c>
    </row>
    <row r="592">
      <c r="A592" s="4">
        <f>IF(B592="","",ROW()-1)</f>
      </c>
      <c r="B592" s="5"/>
      <c r="C592" s="2">
        <f>IF(B592="","",IF(C592="",NOW(),C592))</f>
      </c>
    </row>
    <row r="593">
      <c r="A593" s="4">
        <f>IF(B593="","",ROW()-1)</f>
      </c>
      <c r="B593" s="5"/>
      <c r="C593" s="2">
        <f>IF(B593="","",IF(C593="",NOW(),C593))</f>
      </c>
    </row>
    <row r="594">
      <c r="A594" s="4">
        <f>IF(B594="","",ROW()-1)</f>
      </c>
      <c r="B594" s="5"/>
      <c r="C594" s="2">
        <f>IF(B594="","",IF(C594="",NOW(),C594))</f>
      </c>
    </row>
    <row r="595">
      <c r="A595" s="4">
        <f>IF(B595="","",ROW()-1)</f>
      </c>
      <c r="B595" s="5"/>
      <c r="C595" s="2">
        <f>IF(B595="","",IF(C595="",NOW(),C595))</f>
      </c>
    </row>
    <row r="596">
      <c r="A596" s="4">
        <f>IF(B596="","",ROW()-1)</f>
      </c>
      <c r="B596" s="5"/>
      <c r="C596" s="2">
        <f>IF(B596="","",IF(C596="",NOW(),C596))</f>
      </c>
    </row>
    <row r="597">
      <c r="A597" s="4">
        <f>IF(B597="","",ROW()-1)</f>
      </c>
      <c r="B597" s="5"/>
      <c r="C597" s="2">
        <f>IF(B597="","",IF(C597="",NOW(),C597))</f>
      </c>
    </row>
    <row r="598">
      <c r="A598" s="4">
        <f>IF(B598="","",ROW()-1)</f>
      </c>
      <c r="B598" s="5"/>
      <c r="C598" s="2">
        <f>IF(B598="","",IF(C598="",NOW(),C598))</f>
      </c>
    </row>
    <row r="599">
      <c r="A599" s="4">
        <f>IF(B599="","",ROW()-1)</f>
      </c>
      <c r="B599" s="5"/>
      <c r="C599" s="2">
        <f>IF(B599="","",IF(C599="",NOW(),C599))</f>
      </c>
    </row>
    <row r="600">
      <c r="A600" s="4">
        <f>IF(B600="","",ROW()-1)</f>
      </c>
      <c r="B600" s="5"/>
      <c r="C600" s="2">
        <f>IF(B600="","",IF(C600="",NOW(),C600))</f>
      </c>
    </row>
    <row r="601">
      <c r="A601" s="4">
        <f>IF(B601="","",ROW()-1)</f>
      </c>
      <c r="B601" s="5"/>
      <c r="C601" s="2">
        <f>IF(B601="","",IF(C601="",NOW(),C601))</f>
      </c>
    </row>
    <row r="602">
      <c r="A602" s="4">
        <f>IF(B602="","",ROW()-1)</f>
      </c>
      <c r="B602" s="5"/>
      <c r="C602" s="2">
        <f>IF(B602="","",IF(C602="",NOW(),C602))</f>
      </c>
    </row>
    <row r="603">
      <c r="A603" s="4">
        <f>IF(B603="","",ROW()-1)</f>
      </c>
      <c r="B603" s="5"/>
      <c r="C603" s="2">
        <f>IF(B603="","",IF(C603="",NOW(),C603))</f>
      </c>
    </row>
    <row r="604">
      <c r="A604" s="4">
        <f>IF(B604="","",ROW()-1)</f>
      </c>
      <c r="B604" s="5"/>
      <c r="C604" s="2">
        <f>IF(B604="","",IF(C604="",NOW(),C604))</f>
      </c>
    </row>
    <row r="605">
      <c r="A605" s="4">
        <f>IF(B605="","",ROW()-1)</f>
      </c>
      <c r="B605" s="5"/>
      <c r="C605" s="2">
        <f>IF(B605="","",IF(C605="",NOW(),C605))</f>
      </c>
    </row>
    <row r="606">
      <c r="A606" s="4">
        <f>IF(B606="","",ROW()-1)</f>
      </c>
      <c r="B606" s="5"/>
      <c r="C606" s="2">
        <f>IF(B606="","",IF(C606="",NOW(),C606))</f>
      </c>
    </row>
    <row r="607">
      <c r="A607" s="4">
        <f>IF(B607="","",ROW()-1)</f>
      </c>
      <c r="B607" s="5"/>
      <c r="C607" s="2">
        <f>IF(B607="","",IF(C607="",NOW(),C607))</f>
      </c>
    </row>
    <row r="608">
      <c r="A608" s="4">
        <f>IF(B608="","",ROW()-1)</f>
      </c>
      <c r="B608" s="5"/>
      <c r="C608" s="2">
        <f>IF(B608="","",IF(C608="",NOW(),C608))</f>
      </c>
    </row>
    <row r="609">
      <c r="A609" s="4">
        <f>IF(B609="","",ROW()-1)</f>
      </c>
      <c r="B609" s="5"/>
      <c r="C609" s="2">
        <f>IF(B609="","",IF(C609="",NOW(),C609))</f>
      </c>
    </row>
    <row r="610">
      <c r="A610" s="4">
        <f>IF(B610="","",ROW()-1)</f>
      </c>
      <c r="B610" s="5"/>
      <c r="C610" s="2">
        <f>IF(B610="","",IF(C610="",NOW(),C610))</f>
      </c>
    </row>
    <row r="611">
      <c r="A611" s="4">
        <f>IF(B611="","",ROW()-1)</f>
      </c>
      <c r="B611" s="5"/>
      <c r="C611" s="2">
        <f>IF(B611="","",IF(C611="",NOW(),C611))</f>
      </c>
    </row>
    <row r="612">
      <c r="A612" s="4">
        <f>IF(B612="","",ROW()-1)</f>
      </c>
      <c r="B612" s="5"/>
      <c r="C612" s="2">
        <f>IF(B612="","",IF(C612="",NOW(),C612))</f>
      </c>
    </row>
    <row r="613">
      <c r="A613" s="4">
        <f>IF(B613="","",ROW()-1)</f>
      </c>
      <c r="B613" s="5"/>
      <c r="C613" s="2">
        <f>IF(B613="","",IF(C613="",NOW(),C613))</f>
      </c>
    </row>
    <row r="614">
      <c r="A614" s="4">
        <f>IF(B614="","",ROW()-1)</f>
      </c>
      <c r="B614" s="5"/>
      <c r="C614" s="2">
        <f>IF(B614="","",IF(C614="",NOW(),C614))</f>
      </c>
    </row>
    <row r="615">
      <c r="A615" s="4">
        <f>IF(B615="","",ROW()-1)</f>
      </c>
      <c r="B615" s="5"/>
      <c r="C615" s="2">
        <f>IF(B615="","",IF(C615="",NOW(),C615))</f>
      </c>
    </row>
    <row r="616">
      <c r="A616" s="4">
        <f>IF(B616="","",ROW()-1)</f>
      </c>
      <c r="B616" s="5"/>
      <c r="C616" s="2">
        <f>IF(B616="","",IF(C616="",NOW(),C616))</f>
      </c>
    </row>
    <row r="617">
      <c r="A617" s="4">
        <f>IF(B617="","",ROW()-1)</f>
      </c>
      <c r="B617" s="5"/>
      <c r="C617" s="2">
        <f>IF(B617="","",IF(C617="",NOW(),C617))</f>
      </c>
    </row>
    <row r="618">
      <c r="A618" s="4">
        <f>IF(B618="","",ROW()-1)</f>
      </c>
      <c r="B618" s="5"/>
      <c r="C618" s="2">
        <f>IF(B618="","",IF(C618="",NOW(),C618))</f>
      </c>
    </row>
    <row r="619">
      <c r="A619" s="4">
        <f>IF(B619="","",ROW()-1)</f>
      </c>
      <c r="B619" s="5"/>
      <c r="C619" s="2">
        <f>IF(B619="","",IF(C619="",NOW(),C619))</f>
      </c>
    </row>
    <row r="620">
      <c r="A620" s="4">
        <f>IF(B620="","",ROW()-1)</f>
      </c>
      <c r="B620" s="5"/>
      <c r="C620" s="2">
        <f>IF(B620="","",IF(C620="",NOW(),C620))</f>
      </c>
    </row>
    <row r="621">
      <c r="A621" s="4">
        <f>IF(B621="","",ROW()-1)</f>
      </c>
      <c r="B621" s="5"/>
      <c r="C621" s="2">
        <f>IF(B621="","",IF(C621="",NOW(),C621))</f>
      </c>
    </row>
    <row r="622">
      <c r="A622" s="4">
        <f>IF(B622="","",ROW()-1)</f>
      </c>
      <c r="B622" s="5"/>
      <c r="C622" s="2">
        <f>IF(B622="","",IF(C622="",NOW(),C622))</f>
      </c>
    </row>
    <row r="623">
      <c r="A623" s="4">
        <f>IF(B623="","",ROW()-1)</f>
      </c>
      <c r="B623" s="5"/>
      <c r="C623" s="2">
        <f>IF(B623="","",IF(C623="",NOW(),C623))</f>
      </c>
    </row>
    <row r="624">
      <c r="A624" s="4">
        <f>IF(B624="","",ROW()-1)</f>
      </c>
      <c r="B624" s="5"/>
      <c r="C624" s="2">
        <f>IF(B624="","",IF(C624="",NOW(),C624))</f>
      </c>
    </row>
    <row r="625">
      <c r="A625" s="4">
        <f>IF(B625="","",ROW()-1)</f>
      </c>
      <c r="B625" s="5"/>
      <c r="C625" s="2">
        <f>IF(B625="","",IF(C625="",NOW(),C625))</f>
      </c>
    </row>
    <row r="626">
      <c r="A626" s="4">
        <f>IF(B626="","",ROW()-1)</f>
      </c>
      <c r="B626" s="5"/>
      <c r="C626" s="2">
        <f>IF(B626="","",IF(C626="",NOW(),C626))</f>
      </c>
    </row>
    <row r="627">
      <c r="A627" s="4">
        <f>IF(B627="","",ROW()-1)</f>
      </c>
      <c r="B627" s="5"/>
      <c r="C627" s="2">
        <f>IF(B627="","",IF(C627="",NOW(),C627))</f>
      </c>
    </row>
    <row r="628">
      <c r="A628" s="4">
        <f>IF(B628="","",ROW()-1)</f>
      </c>
      <c r="B628" s="5"/>
      <c r="C628" s="2">
        <f>IF(B628="","",IF(C628="",NOW(),C628))</f>
      </c>
    </row>
    <row r="629">
      <c r="A629" s="4">
        <f>IF(B629="","",ROW()-1)</f>
      </c>
      <c r="B629" s="5"/>
      <c r="C629" s="2">
        <f>IF(B629="","",IF(C629="",NOW(),C629))</f>
      </c>
    </row>
    <row r="630">
      <c r="A630" s="4">
        <f>IF(B630="","",ROW()-1)</f>
      </c>
      <c r="B630" s="5"/>
      <c r="C630" s="2">
        <f>IF(B630="","",IF(C630="",NOW(),C630))</f>
      </c>
    </row>
    <row r="631">
      <c r="A631" s="4">
        <f>IF(B631="","",ROW()-1)</f>
      </c>
      <c r="B631" s="5"/>
      <c r="C631" s="2">
        <f>IF(B631="","",IF(C631="",NOW(),C631))</f>
      </c>
    </row>
    <row r="632">
      <c r="A632" s="4">
        <f>IF(B632="","",ROW()-1)</f>
      </c>
      <c r="B632" s="5"/>
      <c r="C632" s="2">
        <f>IF(B632="","",IF(C632="",NOW(),C632))</f>
      </c>
    </row>
    <row r="633">
      <c r="A633" s="4">
        <f>IF(B633="","",ROW()-1)</f>
      </c>
      <c r="B633" s="5"/>
      <c r="C633" s="2">
        <f>IF(B633="","",IF(C633="",NOW(),C633))</f>
      </c>
    </row>
    <row r="634">
      <c r="A634" s="4">
        <f>IF(B634="","",ROW()-1)</f>
      </c>
      <c r="B634" s="5"/>
      <c r="C634" s="2">
        <f>IF(B634="","",IF(C634="",NOW(),C634))</f>
      </c>
    </row>
    <row r="635">
      <c r="A635" s="4">
        <f>IF(B635="","",ROW()-1)</f>
      </c>
      <c r="B635" s="5"/>
      <c r="C635" s="2">
        <f>IF(B635="","",IF(C635="",NOW(),C635))</f>
      </c>
    </row>
    <row r="636">
      <c r="A636" s="4">
        <f>IF(B636="","",ROW()-1)</f>
      </c>
      <c r="B636" s="5"/>
      <c r="C636" s="2">
        <f>IF(B636="","",IF(C636="",NOW(),C636))</f>
      </c>
    </row>
    <row r="637">
      <c r="A637" s="4">
        <f>IF(B637="","",ROW()-1)</f>
      </c>
      <c r="B637" s="5"/>
      <c r="C637" s="2">
        <f>IF(B637="","",IF(C637="",NOW(),C637))</f>
      </c>
    </row>
    <row r="638">
      <c r="A638" s="4">
        <f>IF(B638="","",ROW()-1)</f>
      </c>
      <c r="B638" s="5"/>
      <c r="C638" s="2">
        <f>IF(B638="","",IF(C638="",NOW(),C638))</f>
      </c>
    </row>
    <row r="639">
      <c r="A639" s="4">
        <f>IF(B639="","",ROW()-1)</f>
      </c>
      <c r="B639" s="5"/>
      <c r="C639" s="2">
        <f>IF(B639="","",IF(C639="",NOW(),C639))</f>
      </c>
    </row>
    <row r="640">
      <c r="A640" s="4">
        <f>IF(B640="","",ROW()-1)</f>
      </c>
      <c r="B640" s="5"/>
      <c r="C640" s="2">
        <f>IF(B640="","",IF(C640="",NOW(),C640))</f>
      </c>
    </row>
    <row r="641">
      <c r="A641" s="4">
        <f>IF(B641="","",ROW()-1)</f>
      </c>
      <c r="B641" s="5"/>
      <c r="C641" s="2">
        <f>IF(B641="","",IF(C641="",NOW(),C641))</f>
      </c>
    </row>
    <row r="642">
      <c r="A642" s="4">
        <f>IF(B642="","",ROW()-1)</f>
      </c>
      <c r="B642" s="5"/>
      <c r="C642" s="2">
        <f>IF(B642="","",IF(C642="",NOW(),C642))</f>
      </c>
    </row>
    <row r="643">
      <c r="A643" s="4">
        <f>IF(B643="","",ROW()-1)</f>
      </c>
      <c r="B643" s="5"/>
      <c r="C643" s="2">
        <f>IF(B643="","",IF(C643="",NOW(),C643))</f>
      </c>
    </row>
    <row r="644">
      <c r="A644" s="4">
        <f>IF(B644="","",ROW()-1)</f>
      </c>
      <c r="B644" s="5"/>
      <c r="C644" s="2">
        <f>IF(B644="","",IF(C644="",NOW(),C644))</f>
      </c>
    </row>
    <row r="645">
      <c r="A645" s="4">
        <f>IF(B645="","",ROW()-1)</f>
      </c>
      <c r="B645" s="5"/>
      <c r="C645" s="2">
        <f>IF(B645="","",IF(C645="",NOW(),C645))</f>
      </c>
    </row>
    <row r="646">
      <c r="A646" s="4">
        <f>IF(B646="","",ROW()-1)</f>
      </c>
      <c r="B646" s="5"/>
      <c r="C646" s="2">
        <f>IF(B646="","",IF(C646="",NOW(),C646))</f>
      </c>
    </row>
    <row r="647">
      <c r="A647" s="4">
        <f>IF(B647="","",ROW()-1)</f>
      </c>
      <c r="B647" s="5"/>
      <c r="C647" s="2">
        <f>IF(B647="","",IF(C647="",NOW(),C647))</f>
      </c>
    </row>
    <row r="648">
      <c r="A648" s="4">
        <f>IF(B648="","",ROW()-1)</f>
      </c>
      <c r="B648" s="5"/>
      <c r="C648" s="2">
        <f>IF(B648="","",IF(C648="",NOW(),C648))</f>
      </c>
    </row>
    <row r="649">
      <c r="A649" s="4">
        <f>IF(B649="","",ROW()-1)</f>
      </c>
      <c r="B649" s="5"/>
      <c r="C649" s="2">
        <f>IF(B649="","",IF(C649="",NOW(),C649))</f>
      </c>
    </row>
    <row r="650">
      <c r="A650" s="4">
        <f>IF(B650="","",ROW()-1)</f>
      </c>
      <c r="B650" s="5"/>
      <c r="C650" s="2">
        <f>IF(B650="","",IF(C650="",NOW(),C650))</f>
      </c>
    </row>
    <row r="651">
      <c r="A651" s="4">
        <f>IF(B651="","",ROW()-1)</f>
      </c>
      <c r="B651" s="5"/>
      <c r="C651" s="2">
        <f>IF(B651="","",IF(C651="",NOW(),C651))</f>
      </c>
    </row>
    <row r="652">
      <c r="A652" s="4">
        <f>IF(B652="","",ROW()-1)</f>
      </c>
      <c r="B652" s="5"/>
      <c r="C652" s="2">
        <f>IF(B652="","",IF(C652="",NOW(),C652))</f>
      </c>
    </row>
    <row r="653">
      <c r="A653" s="4">
        <f>IF(B653="","",ROW()-1)</f>
      </c>
      <c r="B653" s="5"/>
      <c r="C653" s="2">
        <f>IF(B653="","",IF(C653="",NOW(),C653))</f>
      </c>
    </row>
    <row r="654">
      <c r="A654" s="4">
        <f>IF(B654="","",ROW()-1)</f>
      </c>
      <c r="B654" s="5"/>
      <c r="C654" s="2">
        <f>IF(B654="","",IF(C654="",NOW(),C654))</f>
      </c>
    </row>
    <row r="655">
      <c r="A655" s="4">
        <f>IF(B655="","",ROW()-1)</f>
      </c>
      <c r="B655" s="5"/>
      <c r="C655" s="2">
        <f>IF(B655="","",IF(C655="",NOW(),C655))</f>
      </c>
    </row>
    <row r="656">
      <c r="A656" s="4">
        <f>IF(B656="","",ROW()-1)</f>
      </c>
      <c r="B656" s="5"/>
      <c r="C656" s="2">
        <f>IF(B656="","",IF(C656="",NOW(),C656))</f>
      </c>
    </row>
    <row r="657">
      <c r="A657" s="4">
        <f>IF(B657="","",ROW()-1)</f>
      </c>
      <c r="B657" s="5"/>
      <c r="C657" s="2">
        <f>IF(B657="","",IF(C657="",NOW(),C657))</f>
      </c>
    </row>
    <row r="658">
      <c r="A658" s="4">
        <f>IF(B658="","",ROW()-1)</f>
      </c>
      <c r="B658" s="5"/>
      <c r="C658" s="2">
        <f>IF(B658="","",IF(C658="",NOW(),C658))</f>
      </c>
    </row>
    <row r="659">
      <c r="A659" s="4">
        <f>IF(B659="","",ROW()-1)</f>
      </c>
      <c r="B659" s="5"/>
      <c r="C659" s="2">
        <f>IF(B659="","",IF(C659="",NOW(),C659))</f>
      </c>
    </row>
    <row r="660">
      <c r="A660" s="4">
        <f>IF(B660="","",ROW()-1)</f>
      </c>
      <c r="B660" s="5"/>
      <c r="C660" s="2">
        <f>IF(B660="","",IF(C660="",NOW(),C660))</f>
      </c>
    </row>
    <row r="661">
      <c r="A661" s="4">
        <f>IF(B661="","",ROW()-1)</f>
      </c>
      <c r="B661" s="5"/>
      <c r="C661" s="2">
        <f>IF(B661="","",IF(C661="",NOW(),C661))</f>
      </c>
    </row>
    <row r="662">
      <c r="A662" s="4">
        <f>IF(B662="","",ROW()-1)</f>
      </c>
      <c r="B662" s="5"/>
      <c r="C662" s="2">
        <f>IF(B662="","",IF(C662="",NOW(),C662))</f>
      </c>
    </row>
    <row r="663">
      <c r="A663" s="4">
        <f>IF(B663="","",ROW()-1)</f>
      </c>
      <c r="B663" s="5"/>
      <c r="C663" s="2">
        <f>IF(B663="","",IF(C663="",NOW(),C663))</f>
      </c>
    </row>
    <row r="664">
      <c r="A664" s="4">
        <f>IF(B664="","",ROW()-1)</f>
      </c>
      <c r="B664" s="5"/>
      <c r="C664" s="2">
        <f>IF(B664="","",IF(C664="",NOW(),C664))</f>
      </c>
    </row>
    <row r="665">
      <c r="A665" s="4">
        <f>IF(B665="","",ROW()-1)</f>
      </c>
      <c r="B665" s="5"/>
      <c r="C665" s="2">
        <f>IF(B665="","",IF(C665="",NOW(),C665))</f>
      </c>
    </row>
    <row r="666">
      <c r="A666" s="4">
        <f>IF(B666="","",ROW()-1)</f>
      </c>
      <c r="B666" s="5"/>
      <c r="C666" s="2">
        <f>IF(B666="","",IF(C666="",NOW(),C666))</f>
      </c>
    </row>
    <row r="667">
      <c r="A667" s="4">
        <f>IF(B667="","",ROW()-1)</f>
      </c>
      <c r="B667" s="5"/>
      <c r="C667" s="2">
        <f>IF(B667="","",IF(C667="",NOW(),C667))</f>
      </c>
    </row>
    <row r="668">
      <c r="A668" s="4">
        <f>IF(B668="","",ROW()-1)</f>
      </c>
      <c r="B668" s="5"/>
      <c r="C668" s="2">
        <f>IF(B668="","",IF(C668="",NOW(),C668))</f>
      </c>
    </row>
    <row r="669">
      <c r="A669" s="4">
        <f>IF(B669="","",ROW()-1)</f>
      </c>
      <c r="B669" s="5"/>
      <c r="C669" s="2">
        <f>IF(B669="","",IF(C669="",NOW(),C669))</f>
      </c>
    </row>
    <row r="670">
      <c r="A670" s="4">
        <f>IF(B670="","",ROW()-1)</f>
      </c>
      <c r="B670" s="5"/>
      <c r="C670" s="2">
        <f>IF(B670="","",IF(C670="",NOW(),C670))</f>
      </c>
    </row>
    <row r="671">
      <c r="A671" s="4">
        <f>IF(B671="","",ROW()-1)</f>
      </c>
      <c r="B671" s="5"/>
      <c r="C671" s="2">
        <f>IF(B671="","",IF(C671="",NOW(),C671))</f>
      </c>
    </row>
    <row r="672">
      <c r="A672" s="4">
        <f>IF(B672="","",ROW()-1)</f>
      </c>
      <c r="B672" s="5"/>
      <c r="C672" s="2">
        <f>IF(B672="","",IF(C672="",NOW(),C672))</f>
      </c>
    </row>
    <row r="673">
      <c r="A673" s="4">
        <f>IF(B673="","",ROW()-1)</f>
      </c>
      <c r="B673" s="5"/>
      <c r="C673" s="2">
        <f>IF(B673="","",IF(C673="",NOW(),C673))</f>
      </c>
    </row>
    <row r="674">
      <c r="A674" s="4">
        <f>IF(B674="","",ROW()-1)</f>
      </c>
      <c r="B674" s="5"/>
      <c r="C674" s="2">
        <f>IF(B674="","",IF(C674="",NOW(),C674))</f>
      </c>
    </row>
    <row r="675">
      <c r="A675" s="4">
        <f>IF(B675="","",ROW()-1)</f>
      </c>
      <c r="B675" s="5"/>
      <c r="C675" s="2">
        <f>IF(B675="","",IF(C675="",NOW(),C675))</f>
      </c>
    </row>
    <row r="676">
      <c r="A676" s="4">
        <f>IF(B676="","",ROW()-1)</f>
      </c>
      <c r="B676" s="5"/>
      <c r="C676" s="2">
        <f>IF(B676="","",IF(C676="",NOW(),C676))</f>
      </c>
    </row>
    <row r="677">
      <c r="A677" s="4">
        <f>IF(B677="","",ROW()-1)</f>
      </c>
      <c r="B677" s="5"/>
      <c r="C677" s="2">
        <f>IF(B677="","",IF(C677="",NOW(),C677))</f>
      </c>
    </row>
    <row r="678">
      <c r="A678" s="4">
        <f>IF(B678="","",ROW()-1)</f>
      </c>
      <c r="B678" s="5"/>
      <c r="C678" s="2">
        <f>IF(B678="","",IF(C678="",NOW(),C678))</f>
      </c>
    </row>
    <row r="679">
      <c r="A679" s="4">
        <f>IF(B679="","",ROW()-1)</f>
      </c>
      <c r="B679" s="5"/>
      <c r="C679" s="2">
        <f>IF(B679="","",IF(C679="",NOW(),C679))</f>
      </c>
    </row>
    <row r="680">
      <c r="A680" s="4">
        <f>IF(B680="","",ROW()-1)</f>
      </c>
      <c r="B680" s="5"/>
      <c r="C680" s="2">
        <f>IF(B680="","",IF(C680="",NOW(),C680))</f>
      </c>
    </row>
    <row r="681">
      <c r="A681" s="4">
        <f>IF(B681="","",ROW()-1)</f>
      </c>
      <c r="B681" s="5"/>
      <c r="C681" s="2">
        <f>IF(B681="","",IF(C681="",NOW(),C681))</f>
      </c>
    </row>
    <row r="682">
      <c r="A682" s="4">
        <f>IF(B682="","",ROW()-1)</f>
      </c>
      <c r="B682" s="5"/>
      <c r="C682" s="2">
        <f>IF(B682="","",IF(C682="",NOW(),C682))</f>
      </c>
    </row>
    <row r="683">
      <c r="A683" s="4">
        <f>IF(B683="","",ROW()-1)</f>
      </c>
      <c r="B683" s="5"/>
      <c r="C683" s="2">
        <f>IF(B683="","",IF(C683="",NOW(),C683))</f>
      </c>
    </row>
    <row r="684">
      <c r="A684" s="4">
        <f>IF(B684="","",ROW()-1)</f>
      </c>
      <c r="B684" s="5"/>
      <c r="C684" s="2">
        <f>IF(B684="","",IF(C684="",NOW(),C684))</f>
      </c>
    </row>
    <row r="685">
      <c r="A685" s="4">
        <f>IF(B685="","",ROW()-1)</f>
      </c>
      <c r="B685" s="5"/>
      <c r="C685" s="2">
        <f>IF(B685="","",IF(C685="",NOW(),C685))</f>
      </c>
    </row>
    <row r="686">
      <c r="A686" s="4">
        <f>IF(B686="","",ROW()-1)</f>
      </c>
      <c r="B686" s="5"/>
      <c r="C686" s="2">
        <f>IF(B686="","",IF(C686="",NOW(),C686))</f>
      </c>
    </row>
    <row r="687">
      <c r="A687" s="4">
        <f>IF(B687="","",ROW()-1)</f>
      </c>
      <c r="B687" s="5"/>
      <c r="C687" s="2">
        <f>IF(B687="","",IF(C687="",NOW(),C687))</f>
      </c>
    </row>
    <row r="688">
      <c r="A688" s="4">
        <f>IF(B688="","",ROW()-1)</f>
      </c>
      <c r="B688" s="5"/>
      <c r="C688" s="2">
        <f>IF(B688="","",IF(C688="",NOW(),C688))</f>
      </c>
    </row>
    <row r="689">
      <c r="A689" s="4">
        <f>IF(B689="","",ROW()-1)</f>
      </c>
      <c r="B689" s="5"/>
      <c r="C689" s="2">
        <f>IF(B689="","",IF(C689="",NOW(),C689))</f>
      </c>
    </row>
    <row r="690">
      <c r="A690" s="4">
        <f>IF(B690="","",ROW()-1)</f>
      </c>
      <c r="B690" s="5"/>
      <c r="C690" s="2">
        <f>IF(B690="","",IF(C690="",NOW(),C690))</f>
      </c>
    </row>
    <row r="691">
      <c r="A691" s="4">
        <f>IF(B691="","",ROW()-1)</f>
      </c>
      <c r="B691" s="5"/>
      <c r="C691" s="2">
        <f>IF(B691="","",IF(C691="",NOW(),C691))</f>
      </c>
    </row>
    <row r="692">
      <c r="A692" s="4">
        <f>IF(B692="","",ROW()-1)</f>
      </c>
      <c r="B692" s="5"/>
      <c r="C692" s="2">
        <f>IF(B692="","",IF(C692="",NOW(),C692))</f>
      </c>
    </row>
    <row r="693">
      <c r="A693" s="4">
        <f>IF(B693="","",ROW()-1)</f>
      </c>
      <c r="B693" s="5"/>
      <c r="C693" s="2">
        <f>IF(B693="","",IF(C693="",NOW(),C693))</f>
      </c>
    </row>
    <row r="694">
      <c r="A694" s="4">
        <f>IF(B694="","",ROW()-1)</f>
      </c>
      <c r="B694" s="5"/>
      <c r="C694" s="2">
        <f>IF(B694="","",IF(C694="",NOW(),C694))</f>
      </c>
    </row>
    <row r="695">
      <c r="A695" s="4">
        <f>IF(B695="","",ROW()-1)</f>
      </c>
      <c r="B695" s="5"/>
      <c r="C695" s="2">
        <f>IF(B695="","",IF(C695="",NOW(),C695))</f>
      </c>
    </row>
    <row r="696">
      <c r="A696" s="4">
        <f>IF(B696="","",ROW()-1)</f>
      </c>
      <c r="B696" s="5"/>
      <c r="C696" s="2">
        <f>IF(B696="","",IF(C696="",NOW(),C696))</f>
      </c>
    </row>
    <row r="697">
      <c r="A697" s="4">
        <f>IF(B697="","",ROW()-1)</f>
      </c>
      <c r="B697" s="5"/>
      <c r="C697" s="2">
        <f>IF(B697="","",IF(C697="",NOW(),C697))</f>
      </c>
    </row>
    <row r="698">
      <c r="A698" s="4">
        <f>IF(B698="","",ROW()-1)</f>
      </c>
      <c r="B698" s="5"/>
      <c r="C698" s="2">
        <f>IF(B698="","",IF(C698="",NOW(),C698))</f>
      </c>
    </row>
    <row r="699">
      <c r="A699" s="4">
        <f>IF(B699="","",ROW()-1)</f>
      </c>
      <c r="B699" s="5"/>
      <c r="C699" s="2">
        <f>IF(B699="","",IF(C699="",NOW(),C699))</f>
      </c>
    </row>
    <row r="700">
      <c r="A700" s="4">
        <f>IF(B700="","",ROW()-1)</f>
      </c>
      <c r="B700" s="5"/>
      <c r="C700" s="2">
        <f>IF(B700="","",IF(C700="",NOW(),C700))</f>
      </c>
    </row>
    <row r="701">
      <c r="A701" s="4">
        <f>IF(B701="","",ROW()-1)</f>
      </c>
      <c r="B701" s="5"/>
      <c r="C701" s="2">
        <f>IF(B701="","",IF(C701="",NOW(),C701))</f>
      </c>
    </row>
    <row r="702">
      <c r="A702" s="4">
        <f>IF(B702="","",ROW()-1)</f>
      </c>
      <c r="B702" s="5"/>
      <c r="C702" s="2">
        <f>IF(B702="","",IF(C702="",NOW(),C702))</f>
      </c>
    </row>
    <row r="703">
      <c r="A703" s="4">
        <f>IF(B703="","",ROW()-1)</f>
      </c>
      <c r="B703" s="5"/>
      <c r="C703" s="2">
        <f>IF(B703="","",IF(C703="",NOW(),C703))</f>
      </c>
    </row>
    <row r="704">
      <c r="A704" s="4">
        <f>IF(B704="","",ROW()-1)</f>
      </c>
      <c r="B704" s="5"/>
      <c r="C704" s="2">
        <f>IF(B704="","",IF(C704="",NOW(),C704))</f>
      </c>
    </row>
    <row r="705">
      <c r="A705" s="4">
        <f>IF(B705="","",ROW()-1)</f>
      </c>
      <c r="B705" s="5"/>
      <c r="C705" s="2">
        <f>IF(B705="","",IF(C705="",NOW(),C705))</f>
      </c>
    </row>
    <row r="706">
      <c r="A706" s="4">
        <f>IF(B706="","",ROW()-1)</f>
      </c>
      <c r="B706" s="5"/>
      <c r="C706" s="2">
        <f>IF(B706="","",IF(C706="",NOW(),C706))</f>
      </c>
    </row>
    <row r="707">
      <c r="A707" s="4">
        <f>IF(B707="","",ROW()-1)</f>
      </c>
      <c r="B707" s="5"/>
      <c r="C707" s="2">
        <f>IF(B707="","",IF(C707="",NOW(),C707))</f>
      </c>
    </row>
    <row r="708">
      <c r="A708" s="4">
        <f>IF(B708="","",ROW()-1)</f>
      </c>
      <c r="B708" s="5"/>
      <c r="C708" s="2">
        <f>IF(B708="","",IF(C708="",NOW(),C708))</f>
      </c>
    </row>
    <row r="709">
      <c r="A709" s="4">
        <f>IF(B709="","",ROW()-1)</f>
      </c>
      <c r="B709" s="5"/>
      <c r="C709" s="2">
        <f>IF(B709="","",IF(C709="",NOW(),C709))</f>
      </c>
    </row>
    <row r="710">
      <c r="A710" s="4">
        <f>IF(B710="","",ROW()-1)</f>
      </c>
      <c r="B710" s="5"/>
      <c r="C710" s="2">
        <f>IF(B710="","",IF(C710="",NOW(),C710))</f>
      </c>
    </row>
    <row r="711">
      <c r="A711" s="4">
        <f>IF(B711="","",ROW()-1)</f>
      </c>
      <c r="B711" s="5"/>
      <c r="C711" s="2">
        <f>IF(B711="","",IF(C711="",NOW(),C711))</f>
      </c>
    </row>
    <row r="712">
      <c r="A712" s="4">
        <f>IF(B712="","",ROW()-1)</f>
      </c>
      <c r="B712" s="5"/>
      <c r="C712" s="2">
        <f>IF(B712="","",IF(C712="",NOW(),C712))</f>
      </c>
    </row>
    <row r="713">
      <c r="A713" s="4">
        <f>IF(B713="","",ROW()-1)</f>
      </c>
      <c r="B713" s="5"/>
      <c r="C713" s="2">
        <f>IF(B713="","",IF(C713="",NOW(),C713))</f>
      </c>
    </row>
    <row r="714">
      <c r="A714" s="4">
        <f>IF(B714="","",ROW()-1)</f>
      </c>
      <c r="B714" s="5"/>
      <c r="C714" s="2">
        <f>IF(B714="","",IF(C714="",NOW(),C714))</f>
      </c>
    </row>
    <row r="715">
      <c r="A715" s="4">
        <f>IF(B715="","",ROW()-1)</f>
      </c>
      <c r="B715" s="5"/>
      <c r="C715" s="2">
        <f>IF(B715="","",IF(C715="",NOW(),C715))</f>
      </c>
    </row>
    <row r="716">
      <c r="A716" s="4">
        <f>IF(B716="","",ROW()-1)</f>
      </c>
      <c r="B716" s="5"/>
      <c r="C716" s="2">
        <f>IF(B716="","",IF(C716="",NOW(),C716))</f>
      </c>
    </row>
    <row r="717">
      <c r="A717" s="4">
        <f>IF(B717="","",ROW()-1)</f>
      </c>
      <c r="B717" s="5"/>
      <c r="C717" s="2">
        <f>IF(B717="","",IF(C717="",NOW(),C717))</f>
      </c>
    </row>
    <row r="718">
      <c r="A718" s="4">
        <f>IF(B718="","",ROW()-1)</f>
      </c>
      <c r="B718" s="5"/>
      <c r="C718" s="2">
        <f>IF(B718="","",IF(C718="",NOW(),C718))</f>
      </c>
    </row>
    <row r="719">
      <c r="A719" s="4">
        <f>IF(B719="","",ROW()-1)</f>
      </c>
      <c r="B719" s="5"/>
      <c r="C719" s="2">
        <f>IF(B719="","",IF(C719="",NOW(),C719))</f>
      </c>
    </row>
    <row r="720">
      <c r="A720" s="4">
        <f>IF(B720="","",ROW()-1)</f>
      </c>
      <c r="B720" s="5"/>
      <c r="C720" s="2">
        <f>IF(B720="","",IF(C720="",NOW(),C720))</f>
      </c>
    </row>
    <row r="721">
      <c r="A721" s="4">
        <f>IF(B721="","",ROW()-1)</f>
      </c>
      <c r="B721" s="5"/>
      <c r="C721" s="2">
        <f>IF(B721="","",IF(C721="",NOW(),C721))</f>
      </c>
    </row>
    <row r="722">
      <c r="A722" s="4">
        <f>IF(B722="","",ROW()-1)</f>
      </c>
      <c r="B722" s="5"/>
      <c r="C722" s="2">
        <f>IF(B722="","",IF(C722="",NOW(),C722))</f>
      </c>
    </row>
    <row r="723">
      <c r="A723" s="4">
        <f>IF(B723="","",ROW()-1)</f>
      </c>
      <c r="B723" s="5"/>
      <c r="C723" s="2">
        <f>IF(B723="","",IF(C723="",NOW(),C723))</f>
      </c>
    </row>
    <row r="724">
      <c r="A724" s="4">
        <f>IF(B724="","",ROW()-1)</f>
      </c>
      <c r="B724" s="5"/>
      <c r="C724" s="2">
        <f>IF(B724="","",IF(C724="",NOW(),C724))</f>
      </c>
    </row>
    <row r="725">
      <c r="A725" s="4">
        <f>IF(B725="","",ROW()-1)</f>
      </c>
      <c r="B725" s="5"/>
      <c r="C725" s="2">
        <f>IF(B725="","",IF(C725="",NOW(),C725))</f>
      </c>
    </row>
    <row r="726">
      <c r="A726" s="4">
        <f>IF(B726="","",ROW()-1)</f>
      </c>
      <c r="B726" s="5"/>
      <c r="C726" s="2">
        <f>IF(B726="","",IF(C726="",NOW(),C726))</f>
      </c>
    </row>
    <row r="727">
      <c r="A727" s="4">
        <f>IF(B727="","",ROW()-1)</f>
      </c>
      <c r="B727" s="5"/>
      <c r="C727" s="2">
        <f>IF(B727="","",IF(C727="",NOW(),C727))</f>
      </c>
    </row>
    <row r="728">
      <c r="A728" s="4">
        <f>IF(B728="","",ROW()-1)</f>
      </c>
      <c r="B728" s="5"/>
      <c r="C728" s="2">
        <f>IF(B728="","",IF(C728="",NOW(),C728))</f>
      </c>
    </row>
    <row r="729">
      <c r="A729" s="4">
        <f>IF(B729="","",ROW()-1)</f>
      </c>
      <c r="B729" s="5"/>
      <c r="C729" s="2">
        <f>IF(B729="","",IF(C729="",NOW(),C729))</f>
      </c>
    </row>
    <row r="730">
      <c r="A730" s="4">
        <f>IF(B730="","",ROW()-1)</f>
      </c>
      <c r="B730" s="5"/>
      <c r="C730" s="2">
        <f>IF(B730="","",IF(C730="",NOW(),C730))</f>
      </c>
    </row>
    <row r="731">
      <c r="A731" s="4">
        <f>IF(B731="","",ROW()-1)</f>
      </c>
      <c r="B731" s="5"/>
      <c r="C731" s="2">
        <f>IF(B731="","",IF(C731="",NOW(),C731))</f>
      </c>
    </row>
    <row r="732">
      <c r="A732" s="4">
        <f>IF(B732="","",ROW()-1)</f>
      </c>
      <c r="B732" s="5"/>
      <c r="C732" s="2">
        <f>IF(B732="","",IF(C732="",NOW(),C732))</f>
      </c>
    </row>
    <row r="733">
      <c r="A733" s="4">
        <f>IF(B733="","",ROW()-1)</f>
      </c>
      <c r="B733" s="5"/>
      <c r="C733" s="2">
        <f>IF(B733="","",IF(C733="",NOW(),C733))</f>
      </c>
    </row>
    <row r="734">
      <c r="A734" s="4">
        <f>IF(B734="","",ROW()-1)</f>
      </c>
      <c r="B734" s="5"/>
      <c r="C734" s="2">
        <f>IF(B734="","",IF(C734="",NOW(),C734))</f>
      </c>
    </row>
    <row r="735">
      <c r="A735" s="4">
        <f>IF(B735="","",ROW()-1)</f>
      </c>
      <c r="B735" s="5"/>
      <c r="C735" s="2">
        <f>IF(B735="","",IF(C735="",NOW(),C735))</f>
      </c>
    </row>
    <row r="736">
      <c r="A736" s="4">
        <f>IF(B736="","",ROW()-1)</f>
      </c>
      <c r="B736" s="5"/>
      <c r="C736" s="2">
        <f>IF(B736="","",IF(C736="",NOW(),C736))</f>
      </c>
    </row>
    <row r="737">
      <c r="A737" s="4">
        <f>IF(B737="","",ROW()-1)</f>
      </c>
      <c r="B737" s="5"/>
      <c r="C737" s="2">
        <f>IF(B737="","",IF(C737="",NOW(),C737))</f>
      </c>
    </row>
    <row r="738">
      <c r="A738" s="4">
        <f>IF(B738="","",ROW()-1)</f>
      </c>
      <c r="B738" s="5"/>
      <c r="C738" s="2">
        <f>IF(B738="","",IF(C738="",NOW(),C738))</f>
      </c>
    </row>
    <row r="739">
      <c r="A739" s="4">
        <f>IF(B739="","",ROW()-1)</f>
      </c>
      <c r="B739" s="5"/>
      <c r="C739" s="2">
        <f>IF(B739="","",IF(C739="",NOW(),C739))</f>
      </c>
    </row>
    <row r="740">
      <c r="A740" s="4">
        <f>IF(B740="","",ROW()-1)</f>
      </c>
      <c r="B740" s="5"/>
      <c r="C740" s="2">
        <f>IF(B740="","",IF(C740="",NOW(),C740))</f>
      </c>
    </row>
    <row r="741">
      <c r="A741" s="4">
        <f>IF(B741="","",ROW()-1)</f>
      </c>
      <c r="B741" s="5"/>
      <c r="C741" s="2">
        <f>IF(B741="","",IF(C741="",NOW(),C741))</f>
      </c>
    </row>
    <row r="742">
      <c r="A742" s="4">
        <f>IF(B742="","",ROW()-1)</f>
      </c>
      <c r="B742" s="5"/>
      <c r="C742" s="2">
        <f>IF(B742="","",IF(C742="",NOW(),C742))</f>
      </c>
    </row>
    <row r="743">
      <c r="A743" s="4">
        <f>IF(B743="","",ROW()-1)</f>
      </c>
      <c r="B743" s="5"/>
      <c r="C743" s="2">
        <f>IF(B743="","",IF(C743="",NOW(),C743))</f>
      </c>
    </row>
    <row r="744">
      <c r="A744" s="4">
        <f>IF(B744="","",ROW()-1)</f>
      </c>
      <c r="B744" s="5"/>
      <c r="C744" s="2">
        <f>IF(B744="","",IF(C744="",NOW(),C744))</f>
      </c>
    </row>
    <row r="745">
      <c r="A745" s="4">
        <f>IF(B745="","",ROW()-1)</f>
      </c>
      <c r="B745" s="5"/>
      <c r="C745" s="2">
        <f>IF(B745="","",IF(C745="",NOW(),C745))</f>
      </c>
    </row>
    <row r="746">
      <c r="A746" s="4">
        <f>IF(B746="","",ROW()-1)</f>
      </c>
      <c r="B746" s="5"/>
      <c r="C746" s="2">
        <f>IF(B746="","",IF(C746="",NOW(),C746))</f>
      </c>
    </row>
    <row r="747">
      <c r="A747" s="4">
        <f>IF(B747="","",ROW()-1)</f>
      </c>
      <c r="B747" s="5"/>
      <c r="C747" s="2">
        <f>IF(B747="","",IF(C747="",NOW(),C747))</f>
      </c>
    </row>
    <row r="748">
      <c r="A748" s="4">
        <f>IF(B748="","",ROW()-1)</f>
      </c>
      <c r="B748" s="5"/>
      <c r="C748" s="2">
        <f>IF(B748="","",IF(C748="",NOW(),C748))</f>
      </c>
    </row>
    <row r="749">
      <c r="A749" s="4">
        <f>IF(B749="","",ROW()-1)</f>
      </c>
      <c r="B749" s="5"/>
      <c r="C749" s="2">
        <f>IF(B749="","",IF(C749="",NOW(),C749))</f>
      </c>
    </row>
    <row r="750">
      <c r="A750" s="4">
        <f>IF(B750="","",ROW()-1)</f>
      </c>
      <c r="B750" s="5"/>
      <c r="C750" s="2">
        <f>IF(B750="","",IF(C750="",NOW(),C750))</f>
      </c>
    </row>
    <row r="751">
      <c r="A751" s="4">
        <f>IF(B751="","",ROW()-1)</f>
      </c>
      <c r="B751" s="5"/>
      <c r="C751" s="2">
        <f>IF(B751="","",IF(C751="",NOW(),C751))</f>
      </c>
    </row>
    <row r="752">
      <c r="A752" s="4">
        <f>IF(B752="","",ROW()-1)</f>
      </c>
      <c r="B752" s="5"/>
      <c r="C752" s="2">
        <f>IF(B752="","",IF(C752="",NOW(),C752))</f>
      </c>
    </row>
    <row r="753">
      <c r="A753" s="4">
        <f>IF(B753="","",ROW()-1)</f>
      </c>
      <c r="B753" s="5"/>
      <c r="C753" s="2">
        <f>IF(B753="","",IF(C753="",NOW(),C753))</f>
      </c>
    </row>
    <row r="754">
      <c r="A754" s="4">
        <f>IF(B754="","",ROW()-1)</f>
      </c>
      <c r="B754" s="5"/>
      <c r="C754" s="2">
        <f>IF(B754="","",IF(C754="",NOW(),C754))</f>
      </c>
    </row>
    <row r="755">
      <c r="A755" s="4">
        <f>IF(B755="","",ROW()-1)</f>
      </c>
      <c r="B755" s="5"/>
      <c r="C755" s="2">
        <f>IF(B755="","",IF(C755="",NOW(),C755))</f>
      </c>
    </row>
    <row r="756">
      <c r="A756" s="4">
        <f>IF(B756="","",ROW()-1)</f>
      </c>
      <c r="B756" s="5"/>
      <c r="C756" s="2">
        <f>IF(B756="","",IF(C756="",NOW(),C756))</f>
      </c>
    </row>
    <row r="757">
      <c r="A757" s="4">
        <f>IF(B757="","",ROW()-1)</f>
      </c>
      <c r="B757" s="5"/>
      <c r="C757" s="2">
        <f>IF(B757="","",IF(C757="",NOW(),C757))</f>
      </c>
    </row>
    <row r="758">
      <c r="A758" s="4">
        <f>IF(B758="","",ROW()-1)</f>
      </c>
      <c r="B758" s="5"/>
      <c r="C758" s="2">
        <f>IF(B758="","",IF(C758="",NOW(),C758))</f>
      </c>
    </row>
    <row r="759">
      <c r="A759" s="4">
        <f>IF(B759="","",ROW()-1)</f>
      </c>
      <c r="B759" s="5"/>
      <c r="C759" s="2">
        <f>IF(B759="","",IF(C759="",NOW(),C759))</f>
      </c>
    </row>
    <row r="760">
      <c r="A760" s="4">
        <f>IF(B760="","",ROW()-1)</f>
      </c>
      <c r="B760" s="5"/>
      <c r="C760" s="2">
        <f>IF(B760="","",IF(C760="",NOW(),C760))</f>
      </c>
    </row>
    <row r="761">
      <c r="A761" s="4">
        <f>IF(B761="","",ROW()-1)</f>
      </c>
      <c r="B761" s="5"/>
      <c r="C761" s="2">
        <f>IF(B761="","",IF(C761="",NOW(),C761))</f>
      </c>
    </row>
    <row r="762">
      <c r="A762" s="4">
        <f>IF(B762="","",ROW()-1)</f>
      </c>
      <c r="B762" s="5"/>
      <c r="C762" s="2">
        <f>IF(B762="","",IF(C762="",NOW(),C762))</f>
      </c>
    </row>
    <row r="763">
      <c r="A763" s="4">
        <f>IF(B763="","",ROW()-1)</f>
      </c>
      <c r="B763" s="5"/>
      <c r="C763" s="2">
        <f>IF(B763="","",IF(C763="",NOW(),C763))</f>
      </c>
    </row>
    <row r="764">
      <c r="A764" s="4">
        <f>IF(B764="","",ROW()-1)</f>
      </c>
      <c r="B764" s="5"/>
      <c r="C764" s="2">
        <f>IF(B764="","",IF(C764="",NOW(),C764))</f>
      </c>
    </row>
    <row r="765">
      <c r="A765" s="4">
        <f>IF(B765="","",ROW()-1)</f>
      </c>
      <c r="B765" s="5"/>
      <c r="C765" s="2">
        <f>IF(B765="","",IF(C765="",NOW(),C765))</f>
      </c>
    </row>
    <row r="766">
      <c r="A766" s="4">
        <f>IF(B766="","",ROW()-1)</f>
      </c>
      <c r="B766" s="5"/>
      <c r="C766" s="2">
        <f>IF(B766="","",IF(C766="",NOW(),C766))</f>
      </c>
    </row>
    <row r="767">
      <c r="A767" s="4">
        <f>IF(B767="","",ROW()-1)</f>
      </c>
      <c r="B767" s="5"/>
      <c r="C767" s="2">
        <f>IF(B767="","",IF(C767="",NOW(),C767))</f>
      </c>
    </row>
    <row r="768">
      <c r="A768" s="4">
        <f>IF(B768="","",ROW()-1)</f>
      </c>
      <c r="B768" s="5"/>
      <c r="C768" s="2">
        <f>IF(B768="","",IF(C768="",NOW(),C768))</f>
      </c>
    </row>
    <row r="769">
      <c r="A769" s="4">
        <f>IF(B769="","",ROW()-1)</f>
      </c>
      <c r="B769" s="5"/>
      <c r="C769" s="2">
        <f>IF(B769="","",IF(C769="",NOW(),C769))</f>
      </c>
    </row>
    <row r="770">
      <c r="A770" s="4">
        <f>IF(B770="","",ROW()-1)</f>
      </c>
      <c r="B770" s="5"/>
      <c r="C770" s="2">
        <f>IF(B770="","",IF(C770="",NOW(),C770))</f>
      </c>
    </row>
    <row r="771">
      <c r="A771" s="4">
        <f>IF(B771="","",ROW()-1)</f>
      </c>
      <c r="B771" s="5"/>
      <c r="C771" s="2">
        <f>IF(B771="","",IF(C771="",NOW(),C771))</f>
      </c>
    </row>
    <row r="772">
      <c r="A772" s="4">
        <f>IF(B772="","",ROW()-1)</f>
      </c>
      <c r="B772" s="5"/>
      <c r="C772" s="2">
        <f>IF(B772="","",IF(C772="",NOW(),C772))</f>
      </c>
    </row>
    <row r="773">
      <c r="A773" s="4">
        <f>IF(B773="","",ROW()-1)</f>
      </c>
      <c r="B773" s="5"/>
      <c r="C773" s="2">
        <f>IF(B773="","",IF(C773="",NOW(),C773))</f>
      </c>
    </row>
    <row r="774">
      <c r="A774" s="4">
        <f>IF(B774="","",ROW()-1)</f>
      </c>
      <c r="B774" s="5"/>
      <c r="C774" s="2">
        <f>IF(B774="","",IF(C774="",NOW(),C774))</f>
      </c>
    </row>
    <row r="775">
      <c r="A775" s="4">
        <f>IF(B775="","",ROW()-1)</f>
      </c>
      <c r="B775" s="5"/>
      <c r="C775" s="2">
        <f>IF(B775="","",IF(C775="",NOW(),C775))</f>
      </c>
    </row>
    <row r="776">
      <c r="A776" s="4">
        <f>IF(B776="","",ROW()-1)</f>
      </c>
      <c r="B776" s="5"/>
      <c r="C776" s="2">
        <f>IF(B776="","",IF(C776="",NOW(),C776))</f>
      </c>
    </row>
    <row r="777">
      <c r="A777" s="4">
        <f>IF(B777="","",ROW()-1)</f>
      </c>
      <c r="B777" s="5"/>
      <c r="C777" s="2">
        <f>IF(B777="","",IF(C777="",NOW(),C777))</f>
      </c>
    </row>
    <row r="778">
      <c r="A778" s="4">
        <f>IF(B778="","",ROW()-1)</f>
      </c>
      <c r="B778" s="5"/>
      <c r="C778" s="2">
        <f>IF(B778="","",IF(C778="",NOW(),C778))</f>
      </c>
    </row>
    <row r="779">
      <c r="A779" s="4">
        <f>IF(B779="","",ROW()-1)</f>
      </c>
      <c r="B779" s="5"/>
      <c r="C779" s="2">
        <f>IF(B779="","",IF(C779="",NOW(),C779))</f>
      </c>
    </row>
    <row r="780">
      <c r="A780" s="4">
        <f>IF(B780="","",ROW()-1)</f>
      </c>
      <c r="B780" s="5"/>
      <c r="C780" s="2">
        <f>IF(B780="","",IF(C780="",NOW(),C780))</f>
      </c>
    </row>
    <row r="781">
      <c r="A781" s="4">
        <f>IF(B781="","",ROW()-1)</f>
      </c>
      <c r="B781" s="5"/>
      <c r="C781" s="2">
        <f>IF(B781="","",IF(C781="",NOW(),C781))</f>
      </c>
    </row>
    <row r="782">
      <c r="A782" s="4">
        <f>IF(B782="","",ROW()-1)</f>
      </c>
      <c r="B782" s="5"/>
      <c r="C782" s="2">
        <f>IF(B782="","",IF(C782="",NOW(),C782))</f>
      </c>
    </row>
    <row r="783">
      <c r="A783" s="4">
        <f>IF(B783="","",ROW()-1)</f>
      </c>
      <c r="B783" s="5"/>
      <c r="C783" s="2">
        <f>IF(B783="","",IF(C783="",NOW(),C783))</f>
      </c>
    </row>
    <row r="784">
      <c r="A784" s="4">
        <f>IF(B784="","",ROW()-1)</f>
      </c>
      <c r="B784" s="5"/>
      <c r="C784" s="2">
        <f>IF(B784="","",IF(C784="",NOW(),C784))</f>
      </c>
    </row>
    <row r="785">
      <c r="A785" s="4">
        <f>IF(B785="","",ROW()-1)</f>
      </c>
      <c r="B785" s="5"/>
      <c r="C785" s="2">
        <f>IF(B785="","",IF(C785="",NOW(),C785))</f>
      </c>
    </row>
    <row r="786">
      <c r="A786" s="4">
        <f>IF(B786="","",ROW()-1)</f>
      </c>
      <c r="B786" s="5"/>
      <c r="C786" s="2">
        <f>IF(B786="","",IF(C786="",NOW(),C786))</f>
      </c>
    </row>
    <row r="787">
      <c r="A787" s="4">
        <f>IF(B787="","",ROW()-1)</f>
      </c>
      <c r="B787" s="5"/>
      <c r="C787" s="2">
        <f>IF(B787="","",IF(C787="",NOW(),C787))</f>
      </c>
    </row>
    <row r="788">
      <c r="A788" s="4">
        <f>IF(B788="","",ROW()-1)</f>
      </c>
      <c r="B788" s="5"/>
      <c r="C788" s="2">
        <f>IF(B788="","",IF(C788="",NOW(),C788))</f>
      </c>
    </row>
    <row r="789">
      <c r="A789" s="4">
        <f>IF(B789="","",ROW()-1)</f>
      </c>
      <c r="B789" s="5"/>
      <c r="C789" s="2">
        <f>IF(B789="","",IF(C789="",NOW(),C789))</f>
      </c>
    </row>
    <row r="790">
      <c r="A790" s="4">
        <f>IF(B790="","",ROW()-1)</f>
      </c>
      <c r="B790" s="5"/>
      <c r="C790" s="2">
        <f>IF(B790="","",IF(C790="",NOW(),C790))</f>
      </c>
    </row>
    <row r="791">
      <c r="A791" s="4">
        <f>IF(B791="","",ROW()-1)</f>
      </c>
      <c r="B791" s="5"/>
      <c r="C791" s="2">
        <f>IF(B791="","",IF(C791="",NOW(),C791))</f>
      </c>
    </row>
    <row r="792">
      <c r="A792" s="4">
        <f>IF(B792="","",ROW()-1)</f>
      </c>
      <c r="B792" s="5"/>
      <c r="C792" s="2">
        <f>IF(B792="","",IF(C792="",NOW(),C792))</f>
      </c>
    </row>
    <row r="793">
      <c r="A793" s="4">
        <f>IF(B793="","",ROW()-1)</f>
      </c>
      <c r="B793" s="5"/>
      <c r="C793" s="2">
        <f>IF(B793="","",IF(C793="",NOW(),C793))</f>
      </c>
    </row>
    <row r="794">
      <c r="A794" s="4">
        <f>IF(B794="","",ROW()-1)</f>
      </c>
      <c r="B794" s="5"/>
      <c r="C794" s="2">
        <f>IF(B794="","",IF(C794="",NOW(),C794))</f>
      </c>
    </row>
    <row r="795">
      <c r="A795" s="4">
        <f>IF(B795="","",ROW()-1)</f>
      </c>
      <c r="B795" s="5"/>
      <c r="C795" s="2">
        <f>IF(B795="","",IF(C795="",NOW(),C795))</f>
      </c>
    </row>
    <row r="796">
      <c r="A796" s="4">
        <f>IF(B796="","",ROW()-1)</f>
      </c>
      <c r="B796" s="5"/>
      <c r="C796" s="2">
        <f>IF(B796="","",IF(C796="",NOW(),C796))</f>
      </c>
    </row>
    <row r="797">
      <c r="A797" s="4">
        <f>IF(B797="","",ROW()-1)</f>
      </c>
      <c r="B797" s="5"/>
      <c r="C797" s="2">
        <f>IF(B797="","",IF(C797="",NOW(),C797))</f>
      </c>
    </row>
    <row r="798">
      <c r="A798" s="4">
        <f>IF(B798="","",ROW()-1)</f>
      </c>
      <c r="B798" s="5"/>
      <c r="C798" s="2">
        <f>IF(B798="","",IF(C798="",NOW(),C798))</f>
      </c>
    </row>
    <row r="799">
      <c r="A799" s="4">
        <f>IF(B799="","",ROW()-1)</f>
      </c>
      <c r="B799" s="5"/>
      <c r="C799" s="2">
        <f>IF(B799="","",IF(C799="",NOW(),C799))</f>
      </c>
    </row>
    <row r="800">
      <c r="A800" s="4">
        <f>IF(B800="","",ROW()-1)</f>
      </c>
      <c r="B800" s="5"/>
      <c r="C800" s="2">
        <f>IF(B800="","",IF(C800="",NOW(),C800))</f>
      </c>
    </row>
    <row r="801">
      <c r="A801" s="4">
        <f>IF(B801="","",ROW()-1)</f>
      </c>
      <c r="B801" s="5"/>
      <c r="C801" s="2">
        <f>IF(B801="","",IF(C801="",NOW(),C801))</f>
      </c>
    </row>
    <row r="802">
      <c r="A802" s="4">
        <f>IF(B802="","",ROW()-1)</f>
      </c>
      <c r="B802" s="5"/>
      <c r="C802" s="2">
        <f>IF(B802="","",IF(C802="",NOW(),C802))</f>
      </c>
    </row>
    <row r="803">
      <c r="A803" s="4">
        <f>IF(B803="","",ROW()-1)</f>
      </c>
      <c r="B803" s="5"/>
      <c r="C803" s="2">
        <f>IF(B803="","",IF(C803="",NOW(),C803))</f>
      </c>
    </row>
    <row r="804">
      <c r="A804" s="4">
        <f>IF(B804="","",ROW()-1)</f>
      </c>
      <c r="B804" s="5"/>
      <c r="C804" s="2">
        <f>IF(B804="","",IF(C804="",NOW(),C804))</f>
      </c>
    </row>
    <row r="805">
      <c r="A805" s="4">
        <f>IF(B805="","",ROW()-1)</f>
      </c>
      <c r="B805" s="5"/>
      <c r="C805" s="2">
        <f>IF(B805="","",IF(C805="",NOW(),C805))</f>
      </c>
    </row>
    <row r="806">
      <c r="A806" s="4">
        <f>IF(B806="","",ROW()-1)</f>
      </c>
      <c r="B806" s="5"/>
      <c r="C806" s="2">
        <f>IF(B806="","",IF(C806="",NOW(),C806))</f>
      </c>
    </row>
    <row r="807">
      <c r="A807" s="4">
        <f>IF(B807="","",ROW()-1)</f>
      </c>
      <c r="B807" s="5"/>
      <c r="C807" s="2">
        <f>IF(B807="","",IF(C807="",NOW(),C807))</f>
      </c>
    </row>
    <row r="808">
      <c r="A808" s="4">
        <f>IF(B808="","",ROW()-1)</f>
      </c>
      <c r="B808" s="5"/>
      <c r="C808" s="2">
        <f>IF(B808="","",IF(C808="",NOW(),C808))</f>
      </c>
    </row>
    <row r="809">
      <c r="A809" s="4">
        <f>IF(B809="","",ROW()-1)</f>
      </c>
      <c r="B809" s="5"/>
      <c r="C809" s="2">
        <f>IF(B809="","",IF(C809="",NOW(),C809))</f>
      </c>
    </row>
    <row r="810">
      <c r="A810" s="4">
        <f>IF(B810="","",ROW()-1)</f>
      </c>
      <c r="B810" s="5"/>
      <c r="C810" s="2">
        <f>IF(B810="","",IF(C810="",NOW(),C810))</f>
      </c>
    </row>
    <row r="811">
      <c r="A811" s="4">
        <f>IF(B811="","",ROW()-1)</f>
      </c>
      <c r="B811" s="5"/>
      <c r="C811" s="2">
        <f>IF(B811="","",IF(C811="",NOW(),C811))</f>
      </c>
    </row>
    <row r="812">
      <c r="A812" s="4">
        <f>IF(B812="","",ROW()-1)</f>
      </c>
      <c r="B812" s="5"/>
      <c r="C812" s="2">
        <f>IF(B812="","",IF(C812="",NOW(),C812))</f>
      </c>
    </row>
    <row r="813">
      <c r="A813" s="4">
        <f>IF(B813="","",ROW()-1)</f>
      </c>
      <c r="B813" s="5"/>
      <c r="C813" s="2">
        <f>IF(B813="","",IF(C813="",NOW(),C813))</f>
      </c>
    </row>
    <row r="814">
      <c r="A814" s="4">
        <f>IF(B814="","",ROW()-1)</f>
      </c>
      <c r="B814" s="5"/>
      <c r="C814" s="2">
        <f>IF(B814="","",IF(C814="",NOW(),C814))</f>
      </c>
    </row>
    <row r="815">
      <c r="A815" s="4">
        <f>IF(B815="","",ROW()-1)</f>
      </c>
      <c r="B815" s="5"/>
      <c r="C815" s="2">
        <f>IF(B815="","",IF(C815="",NOW(),C815))</f>
      </c>
    </row>
    <row r="816">
      <c r="A816" s="4">
        <f>IF(B816="","",ROW()-1)</f>
      </c>
      <c r="B816" s="5"/>
      <c r="C816" s="2">
        <f>IF(B816="","",IF(C816="",NOW(),C816))</f>
      </c>
    </row>
    <row r="817">
      <c r="A817" s="4">
        <f>IF(B817="","",ROW()-1)</f>
      </c>
      <c r="B817" s="5"/>
      <c r="C817" s="2">
        <f>IF(B817="","",IF(C817="",NOW(),C817))</f>
      </c>
    </row>
    <row r="818">
      <c r="A818" s="4">
        <f>IF(B818="","",ROW()-1)</f>
      </c>
      <c r="B818" s="5"/>
      <c r="C818" s="2">
        <f>IF(B818="","",IF(C818="",NOW(),C818))</f>
      </c>
    </row>
    <row r="819">
      <c r="A819" s="4">
        <f>IF(B819="","",ROW()-1)</f>
      </c>
      <c r="B819" s="5"/>
      <c r="C819" s="2">
        <f>IF(B819="","",IF(C819="",NOW(),C819))</f>
      </c>
    </row>
    <row r="820">
      <c r="A820" s="4">
        <f>IF(B820="","",ROW()-1)</f>
      </c>
      <c r="B820" s="5"/>
      <c r="C820" s="2">
        <f>IF(B820="","",IF(C820="",NOW(),C820))</f>
      </c>
    </row>
    <row r="821">
      <c r="A821" s="4">
        <f>IF(B821="","",ROW()-1)</f>
      </c>
      <c r="B821" s="5"/>
      <c r="C821" s="2">
        <f>IF(B821="","",IF(C821="",NOW(),C821))</f>
      </c>
    </row>
    <row r="822">
      <c r="A822" s="4">
        <f>IF(B822="","",ROW()-1)</f>
      </c>
      <c r="B822" s="5"/>
      <c r="C822" s="2">
        <f>IF(B822="","",IF(C822="",NOW(),C822))</f>
      </c>
    </row>
    <row r="823">
      <c r="A823" s="4">
        <f>IF(B823="","",ROW()-1)</f>
      </c>
      <c r="B823" s="5"/>
      <c r="C823" s="2">
        <f>IF(B823="","",IF(C823="",NOW(),C823))</f>
      </c>
    </row>
    <row r="824">
      <c r="A824" s="4">
        <f>IF(B824="","",ROW()-1)</f>
      </c>
      <c r="B824" s="5"/>
      <c r="C824" s="2">
        <f>IF(B824="","",IF(C824="",NOW(),C824))</f>
      </c>
    </row>
    <row r="825">
      <c r="A825" s="4">
        <f>IF(B825="","",ROW()-1)</f>
      </c>
      <c r="B825" s="5"/>
      <c r="C825" s="2">
        <f>IF(B825="","",IF(C825="",NOW(),C825))</f>
      </c>
    </row>
    <row r="826">
      <c r="A826" s="4">
        <f>IF(B826="","",ROW()-1)</f>
      </c>
      <c r="B826" s="5"/>
      <c r="C826" s="2">
        <f>IF(B826="","",IF(C826="",NOW(),C826))</f>
      </c>
    </row>
    <row r="827">
      <c r="A827" s="4">
        <f>IF(B827="","",ROW()-1)</f>
      </c>
      <c r="B827" s="5"/>
      <c r="C827" s="2">
        <f>IF(B827="","",IF(C827="",NOW(),C827))</f>
      </c>
    </row>
    <row r="828">
      <c r="A828" s="4">
        <f>IF(B828="","",ROW()-1)</f>
      </c>
      <c r="B828" s="5"/>
      <c r="C828" s="2">
        <f>IF(B828="","",IF(C828="",NOW(),C828))</f>
      </c>
    </row>
    <row r="829">
      <c r="A829" s="4">
        <f>IF(B829="","",ROW()-1)</f>
      </c>
      <c r="B829" s="5"/>
      <c r="C829" s="2">
        <f>IF(B829="","",IF(C829="",NOW(),C829))</f>
      </c>
    </row>
    <row r="830">
      <c r="A830" s="4">
        <f>IF(B830="","",ROW()-1)</f>
      </c>
      <c r="B830" s="5"/>
      <c r="C830" s="2">
        <f>IF(B830="","",IF(C830="",NOW(),C830))</f>
      </c>
    </row>
    <row r="831">
      <c r="A831" s="4">
        <f>IF(B831="","",ROW()-1)</f>
      </c>
      <c r="B831" s="5"/>
      <c r="C831" s="2">
        <f>IF(B831="","",IF(C831="",NOW(),C831))</f>
      </c>
    </row>
    <row r="832">
      <c r="A832" s="4">
        <f>IF(B832="","",ROW()-1)</f>
      </c>
      <c r="B832" s="5"/>
      <c r="C832" s="2">
        <f>IF(B832="","",IF(C832="",NOW(),C832))</f>
      </c>
    </row>
    <row r="833">
      <c r="A833" s="4">
        <f>IF(B833="","",ROW()-1)</f>
      </c>
      <c r="B833" s="5"/>
      <c r="C833" s="2">
        <f>IF(B833="","",IF(C833="",NOW(),C833))</f>
      </c>
    </row>
    <row r="834">
      <c r="A834" s="4">
        <f>IF(B834="","",ROW()-1)</f>
      </c>
      <c r="B834" s="5"/>
      <c r="C834" s="2">
        <f>IF(B834="","",IF(C834="",NOW(),C834))</f>
      </c>
    </row>
    <row r="835">
      <c r="A835" s="4">
        <f>IF(B835="","",ROW()-1)</f>
      </c>
      <c r="B835" s="5"/>
      <c r="C835" s="2">
        <f>IF(B835="","",IF(C835="",NOW(),C835))</f>
      </c>
    </row>
    <row r="836">
      <c r="A836" s="4">
        <f>IF(B836="","",ROW()-1)</f>
      </c>
      <c r="B836" s="5"/>
      <c r="C836" s="2">
        <f>IF(B836="","",IF(C836="",NOW(),C836))</f>
      </c>
    </row>
    <row r="837">
      <c r="A837" s="4">
        <f>IF(B837="","",ROW()-1)</f>
      </c>
      <c r="B837" s="5"/>
      <c r="C837" s="2">
        <f>IF(B837="","",IF(C837="",NOW(),C837))</f>
      </c>
    </row>
    <row r="838">
      <c r="A838" s="4">
        <f>IF(B838="","",ROW()-1)</f>
      </c>
      <c r="B838" s="5"/>
      <c r="C838" s="2">
        <f>IF(B838="","",IF(C838="",NOW(),C838))</f>
      </c>
    </row>
    <row r="839">
      <c r="A839" s="4">
        <f>IF(B839="","",ROW()-1)</f>
      </c>
      <c r="B839" s="5"/>
      <c r="C839" s="2">
        <f>IF(B839="","",IF(C839="",NOW(),C839))</f>
      </c>
    </row>
    <row r="840">
      <c r="A840" s="4">
        <f>IF(B840="","",ROW()-1)</f>
      </c>
      <c r="B840" s="5"/>
      <c r="C840" s="2">
        <f>IF(B840="","",IF(C840="",NOW(),C840))</f>
      </c>
    </row>
    <row r="841">
      <c r="A841" s="4">
        <f>IF(B841="","",ROW()-1)</f>
      </c>
      <c r="B841" s="5"/>
      <c r="C841" s="2">
        <f>IF(B841="","",IF(C841="",NOW(),C841))</f>
      </c>
    </row>
    <row r="842">
      <c r="A842" s="4">
        <f>IF(B842="","",ROW()-1)</f>
      </c>
      <c r="B842" s="5"/>
      <c r="C842" s="2">
        <f>IF(B842="","",IF(C842="",NOW(),C842))</f>
      </c>
    </row>
    <row r="843">
      <c r="A843" s="4">
        <f>IF(B843="","",ROW()-1)</f>
      </c>
      <c r="B843" s="5"/>
      <c r="C843" s="2">
        <f>IF(B843="","",IF(C843="",NOW(),C843))</f>
      </c>
    </row>
    <row r="844">
      <c r="A844" s="4">
        <f>IF(B844="","",ROW()-1)</f>
      </c>
      <c r="B844" s="5"/>
      <c r="C844" s="2">
        <f>IF(B844="","",IF(C844="",NOW(),C844))</f>
      </c>
    </row>
    <row r="845">
      <c r="A845" s="4">
        <f>IF(B845="","",ROW()-1)</f>
      </c>
      <c r="B845" s="5"/>
      <c r="C845" s="2">
        <f>IF(B845="","",IF(C845="",NOW(),C845))</f>
      </c>
    </row>
    <row r="846">
      <c r="A846" s="4">
        <f>IF(B846="","",ROW()-1)</f>
      </c>
      <c r="B846" s="5"/>
      <c r="C846" s="2">
        <f>IF(B846="","",IF(C846="",NOW(),C846))</f>
      </c>
    </row>
    <row r="847">
      <c r="A847" s="4">
        <f>IF(B847="","",ROW()-1)</f>
      </c>
      <c r="B847" s="5"/>
      <c r="C847" s="2">
        <f>IF(B847="","",IF(C847="",NOW(),C847))</f>
      </c>
    </row>
    <row r="848">
      <c r="A848" s="4">
        <f>IF(B848="","",ROW()-1)</f>
      </c>
      <c r="B848" s="5"/>
      <c r="C848" s="2">
        <f>IF(B848="","",IF(C848="",NOW(),C848))</f>
      </c>
    </row>
    <row r="849">
      <c r="A849" s="4">
        <f>IF(B849="","",ROW()-1)</f>
      </c>
      <c r="B849" s="5"/>
      <c r="C849" s="2">
        <f>IF(B849="","",IF(C849="",NOW(),C849))</f>
      </c>
    </row>
    <row r="850">
      <c r="A850" s="4">
        <f>IF(B850="","",ROW()-1)</f>
      </c>
      <c r="B850" s="5"/>
      <c r="C850" s="2">
        <f>IF(B850="","",IF(C850="",NOW(),C850))</f>
      </c>
    </row>
    <row r="851">
      <c r="A851" s="4">
        <f>IF(B851="","",ROW()-1)</f>
      </c>
      <c r="B851" s="5"/>
      <c r="C851" s="2">
        <f>IF(B851="","",IF(C851="",NOW(),C851))</f>
      </c>
    </row>
    <row r="852">
      <c r="A852" s="4">
        <f>IF(B852="","",ROW()-1)</f>
      </c>
      <c r="B852" s="5"/>
      <c r="C852" s="2">
        <f>IF(B852="","",IF(C852="",NOW(),C852))</f>
      </c>
    </row>
    <row r="853">
      <c r="A853" s="4">
        <f>IF(B853="","",ROW()-1)</f>
      </c>
      <c r="B853" s="5"/>
      <c r="C853" s="2">
        <f>IF(B853="","",IF(C853="",NOW(),C853))</f>
      </c>
    </row>
    <row r="854">
      <c r="A854" s="4">
        <f>IF(B854="","",ROW()-1)</f>
      </c>
      <c r="B854" s="5"/>
      <c r="C854" s="2">
        <f>IF(B854="","",IF(C854="",NOW(),C854))</f>
      </c>
    </row>
    <row r="855">
      <c r="A855" s="4">
        <f>IF(B855="","",ROW()-1)</f>
      </c>
      <c r="B855" s="5"/>
      <c r="C855" s="2">
        <f>IF(B855="","",IF(C855="",NOW(),C855))</f>
      </c>
    </row>
    <row r="856">
      <c r="A856" s="4">
        <f>IF(B856="","",ROW()-1)</f>
      </c>
      <c r="B856" s="5"/>
      <c r="C856" s="2">
        <f>IF(B856="","",IF(C856="",NOW(),C856))</f>
      </c>
    </row>
    <row r="857">
      <c r="A857" s="4">
        <f>IF(B857="","",ROW()-1)</f>
      </c>
      <c r="B857" s="5"/>
      <c r="C857" s="2">
        <f>IF(B857="","",IF(C857="",NOW(),C857))</f>
      </c>
    </row>
    <row r="858">
      <c r="A858" s="4">
        <f>IF(B858="","",ROW()-1)</f>
      </c>
      <c r="B858" s="5"/>
      <c r="C858" s="2">
        <f>IF(B858="","",IF(C858="",NOW(),C858))</f>
      </c>
    </row>
    <row r="859">
      <c r="A859" s="4">
        <f>IF(B859="","",ROW()-1)</f>
      </c>
      <c r="B859" s="5"/>
      <c r="C859" s="2">
        <f>IF(B859="","",IF(C859="",NOW(),C859))</f>
      </c>
    </row>
    <row r="860">
      <c r="A860" s="4">
        <f>IF(B860="","",ROW()-1)</f>
      </c>
      <c r="B860" s="5"/>
      <c r="C860" s="2">
        <f>IF(B860="","",IF(C860="",NOW(),C860))</f>
      </c>
    </row>
    <row r="861">
      <c r="A861" s="4">
        <f>IF(B861="","",ROW()-1)</f>
      </c>
      <c r="B861" s="5"/>
      <c r="C861" s="2">
        <f>IF(B861="","",IF(C861="",NOW(),C861))</f>
      </c>
    </row>
    <row r="862">
      <c r="A862" s="4">
        <f>IF(B862="","",ROW()-1)</f>
      </c>
      <c r="B862" s="5"/>
      <c r="C862" s="2">
        <f>IF(B862="","",IF(C862="",NOW(),C862))</f>
      </c>
    </row>
    <row r="863">
      <c r="A863" s="4">
        <f>IF(B863="","",ROW()-1)</f>
      </c>
      <c r="B863" s="5"/>
      <c r="C863" s="2">
        <f>IF(B863="","",IF(C863="",NOW(),C863))</f>
      </c>
    </row>
    <row r="864">
      <c r="A864" s="4">
        <f>IF(B864="","",ROW()-1)</f>
      </c>
      <c r="B864" s="5"/>
      <c r="C864" s="2">
        <f>IF(B864="","",IF(C864="",NOW(),C864))</f>
      </c>
    </row>
    <row r="865">
      <c r="A865" s="4">
        <f>IF(B865="","",ROW()-1)</f>
      </c>
      <c r="B865" s="5"/>
      <c r="C865" s="2">
        <f>IF(B865="","",IF(C865="",NOW(),C865))</f>
      </c>
    </row>
    <row r="866">
      <c r="A866" s="4">
        <f>IF(B866="","",ROW()-1)</f>
      </c>
      <c r="B866" s="5"/>
      <c r="C866" s="2">
        <f>IF(B866="","",IF(C866="",NOW(),C866))</f>
      </c>
    </row>
    <row r="867">
      <c r="A867" s="4">
        <f>IF(B867="","",ROW()-1)</f>
      </c>
      <c r="B867" s="5"/>
      <c r="C867" s="2">
        <f>IF(B867="","",IF(C867="",NOW(),C867))</f>
      </c>
    </row>
    <row r="868">
      <c r="A868" s="4">
        <f>IF(B868="","",ROW()-1)</f>
      </c>
      <c r="B868" s="5"/>
      <c r="C868" s="2">
        <f>IF(B868="","",IF(C868="",NOW(),C868))</f>
      </c>
    </row>
    <row r="869">
      <c r="A869" s="4">
        <f>IF(B869="","",ROW()-1)</f>
      </c>
      <c r="B869" s="5"/>
      <c r="C869" s="2">
        <f>IF(B869="","",IF(C869="",NOW(),C869))</f>
      </c>
    </row>
    <row r="870">
      <c r="A870" s="4">
        <f>IF(B870="","",ROW()-1)</f>
      </c>
      <c r="B870" s="5"/>
      <c r="C870" s="2">
        <f>IF(B870="","",IF(C870="",NOW(),C870))</f>
      </c>
    </row>
    <row r="871">
      <c r="A871" s="4">
        <f>IF(B871="","",ROW()-1)</f>
      </c>
      <c r="B871" s="5"/>
      <c r="C871" s="2">
        <f>IF(B871="","",IF(C871="",NOW(),C871))</f>
      </c>
    </row>
    <row r="872">
      <c r="A872" s="4">
        <f>IF(B872="","",ROW()-1)</f>
      </c>
      <c r="B872" s="5"/>
      <c r="C872" s="2">
        <f>IF(B872="","",IF(C872="",NOW(),C872))</f>
      </c>
    </row>
    <row r="873">
      <c r="A873" s="4">
        <f>IF(B873="","",ROW()-1)</f>
      </c>
      <c r="B873" s="5"/>
      <c r="C873" s="2">
        <f>IF(B873="","",IF(C873="",NOW(),C873))</f>
      </c>
    </row>
    <row r="874">
      <c r="A874" s="4">
        <f>IF(B874="","",ROW()-1)</f>
      </c>
      <c r="B874" s="5"/>
      <c r="C874" s="2">
        <f>IF(B874="","",IF(C874="",NOW(),C874))</f>
      </c>
    </row>
    <row r="875">
      <c r="A875" s="4">
        <f>IF(B875="","",ROW()-1)</f>
      </c>
      <c r="B875" s="5"/>
      <c r="C875" s="2">
        <f>IF(B875="","",IF(C875="",NOW(),C875))</f>
      </c>
    </row>
    <row r="876">
      <c r="A876" s="4">
        <f>IF(B876="","",ROW()-1)</f>
      </c>
      <c r="B876" s="5"/>
      <c r="C876" s="2">
        <f>IF(B876="","",IF(C876="",NOW(),C876))</f>
      </c>
    </row>
    <row r="877">
      <c r="A877" s="4">
        <f>IF(B877="","",ROW()-1)</f>
      </c>
      <c r="B877" s="5"/>
      <c r="C877" s="2">
        <f>IF(B877="","",IF(C877="",NOW(),C877))</f>
      </c>
    </row>
    <row r="878">
      <c r="A878" s="4">
        <f>IF(B878="","",ROW()-1)</f>
      </c>
      <c r="B878" s="5"/>
      <c r="C878" s="2">
        <f>IF(B878="","",IF(C878="",NOW(),C878))</f>
      </c>
    </row>
    <row r="879">
      <c r="A879" s="4">
        <f>IF(B879="","",ROW()-1)</f>
      </c>
      <c r="B879" s="5"/>
      <c r="C879" s="2">
        <f>IF(B879="","",IF(C879="",NOW(),C879))</f>
      </c>
    </row>
    <row r="880">
      <c r="A880" s="4">
        <f>IF(B880="","",ROW()-1)</f>
      </c>
      <c r="B880" s="5"/>
      <c r="C880" s="2">
        <f>IF(B880="","",IF(C880="",NOW(),C880))</f>
      </c>
    </row>
    <row r="881">
      <c r="A881" s="4">
        <f>IF(B881="","",ROW()-1)</f>
      </c>
      <c r="B881" s="5"/>
      <c r="C881" s="2">
        <f>IF(B881="","",IF(C881="",NOW(),C881))</f>
      </c>
    </row>
    <row r="882">
      <c r="A882" s="4">
        <f>IF(B882="","",ROW()-1)</f>
      </c>
      <c r="B882" s="5"/>
      <c r="C882" s="2">
        <f>IF(B882="","",IF(C882="",NOW(),C882))</f>
      </c>
    </row>
    <row r="883">
      <c r="A883" s="4">
        <f>IF(B883="","",ROW()-1)</f>
      </c>
      <c r="B883" s="5"/>
      <c r="C883" s="2">
        <f>IF(B883="","",IF(C883="",NOW(),C883))</f>
      </c>
    </row>
    <row r="884">
      <c r="A884" s="4">
        <f>IF(B884="","",ROW()-1)</f>
      </c>
      <c r="B884" s="5"/>
      <c r="C884" s="2">
        <f>IF(B884="","",IF(C884="",NOW(),C884))</f>
      </c>
    </row>
    <row r="885">
      <c r="A885" s="4">
        <f>IF(B885="","",ROW()-1)</f>
      </c>
      <c r="B885" s="5"/>
      <c r="C885" s="2">
        <f>IF(B885="","",IF(C885="",NOW(),C885))</f>
      </c>
    </row>
    <row r="886">
      <c r="A886" s="4">
        <f>IF(B886="","",ROW()-1)</f>
      </c>
      <c r="B886" s="5"/>
      <c r="C886" s="2">
        <f>IF(B886="","",IF(C886="",NOW(),C886))</f>
      </c>
    </row>
    <row r="887">
      <c r="A887" s="4">
        <f>IF(B887="","",ROW()-1)</f>
      </c>
      <c r="B887" s="5"/>
      <c r="C887" s="2">
        <f>IF(B887="","",IF(C887="",NOW(),C887))</f>
      </c>
    </row>
    <row r="888">
      <c r="A888" s="4">
        <f>IF(B888="","",ROW()-1)</f>
      </c>
      <c r="B888" s="5"/>
      <c r="C888" s="2">
        <f>IF(B888="","",IF(C888="",NOW(),C888))</f>
      </c>
    </row>
    <row r="889">
      <c r="A889" s="4">
        <f>IF(B889="","",ROW()-1)</f>
      </c>
      <c r="B889" s="5"/>
      <c r="C889" s="2">
        <f>IF(B889="","",IF(C889="",NOW(),C889))</f>
      </c>
    </row>
    <row r="890">
      <c r="A890" s="4">
        <f>IF(B890="","",ROW()-1)</f>
      </c>
      <c r="B890" s="5"/>
      <c r="C890" s="2">
        <f>IF(B890="","",IF(C890="",NOW(),C890))</f>
      </c>
    </row>
    <row r="891">
      <c r="A891" s="4">
        <f>IF(B891="","",ROW()-1)</f>
      </c>
      <c r="B891" s="5"/>
      <c r="C891" s="2">
        <f>IF(B891="","",IF(C891="",NOW(),C891))</f>
      </c>
    </row>
    <row r="892">
      <c r="A892" s="4">
        <f>IF(B892="","",ROW()-1)</f>
      </c>
      <c r="B892" s="5"/>
      <c r="C892" s="2">
        <f>IF(B892="","",IF(C892="",NOW(),C892))</f>
      </c>
    </row>
    <row r="893">
      <c r="A893" s="4">
        <f>IF(B893="","",ROW()-1)</f>
      </c>
      <c r="B893" s="5"/>
      <c r="C893" s="2">
        <f>IF(B893="","",IF(C893="",NOW(),C893))</f>
      </c>
    </row>
    <row r="894">
      <c r="A894" s="4">
        <f>IF(B894="","",ROW()-1)</f>
      </c>
      <c r="B894" s="5"/>
      <c r="C894" s="2">
        <f>IF(B894="","",IF(C894="",NOW(),C894))</f>
      </c>
    </row>
    <row r="895">
      <c r="A895" s="4">
        <f>IF(B895="","",ROW()-1)</f>
      </c>
      <c r="B895" s="5"/>
      <c r="C895" s="2">
        <f>IF(B895="","",IF(C895="",NOW(),C895))</f>
      </c>
    </row>
    <row r="896">
      <c r="A896" s="4">
        <f>IF(B896="","",ROW()-1)</f>
      </c>
      <c r="B896" s="5"/>
      <c r="C896" s="2">
        <f>IF(B896="","",IF(C896="",NOW(),C896))</f>
      </c>
    </row>
    <row r="897">
      <c r="A897" s="4">
        <f>IF(B897="","",ROW()-1)</f>
      </c>
      <c r="B897" s="5"/>
      <c r="C897" s="2">
        <f>IF(B897="","",IF(C897="",NOW(),C897))</f>
      </c>
    </row>
    <row r="898">
      <c r="A898" s="4">
        <f>IF(B898="","",ROW()-1)</f>
      </c>
      <c r="B898" s="5"/>
      <c r="C898" s="2">
        <f>IF(B898="","",IF(C898="",NOW(),C898))</f>
      </c>
    </row>
    <row r="899">
      <c r="A899" s="4">
        <f>IF(B899="","",ROW()-1)</f>
      </c>
      <c r="B899" s="5"/>
      <c r="C899" s="2">
        <f>IF(B899="","",IF(C899="",NOW(),C899))</f>
      </c>
    </row>
    <row r="900">
      <c r="A900" s="4">
        <f>IF(B900="","",ROW()-1)</f>
      </c>
      <c r="B900" s="5"/>
      <c r="C900" s="2">
        <f>IF(B900="","",IF(C900="",NOW(),C900))</f>
      </c>
    </row>
    <row r="901">
      <c r="A901" s="4">
        <f>IF(B901="","",ROW()-1)</f>
      </c>
      <c r="B901" s="5"/>
      <c r="C901" s="2">
        <f>IF(B901="","",IF(C901="",NOW(),C901))</f>
      </c>
    </row>
    <row r="902">
      <c r="A902" s="4">
        <f>IF(B902="","",ROW()-1)</f>
      </c>
      <c r="B902" s="5"/>
      <c r="C902" s="2">
        <f>IF(B902="","",IF(C902="",NOW(),C902))</f>
      </c>
    </row>
    <row r="903">
      <c r="A903" s="4">
        <f>IF(B903="","",ROW()-1)</f>
      </c>
      <c r="B903" s="5"/>
      <c r="C903" s="2">
        <f>IF(B903="","",IF(C903="",NOW(),C903))</f>
      </c>
    </row>
    <row r="904">
      <c r="A904" s="4">
        <f>IF(B904="","",ROW()-1)</f>
      </c>
      <c r="B904" s="5"/>
      <c r="C904" s="2">
        <f>IF(B904="","",IF(C904="",NOW(),C904))</f>
      </c>
    </row>
    <row r="905">
      <c r="A905" s="4">
        <f>IF(B905="","",ROW()-1)</f>
      </c>
      <c r="B905" s="5"/>
      <c r="C905" s="2">
        <f>IF(B905="","",IF(C905="",NOW(),C905))</f>
      </c>
    </row>
    <row r="906">
      <c r="A906" s="4">
        <f>IF(B906="","",ROW()-1)</f>
      </c>
      <c r="B906" s="5"/>
      <c r="C906" s="2">
        <f>IF(B906="","",IF(C906="",NOW(),C906))</f>
      </c>
    </row>
    <row r="907">
      <c r="A907" s="4">
        <f>IF(B907="","",ROW()-1)</f>
      </c>
      <c r="B907" s="5"/>
      <c r="C907" s="2">
        <f>IF(B907="","",IF(C907="",NOW(),C907))</f>
      </c>
    </row>
    <row r="908">
      <c r="A908" s="4">
        <f>IF(B908="","",ROW()-1)</f>
      </c>
      <c r="B908" s="5"/>
      <c r="C908" s="2">
        <f>IF(B908="","",IF(C908="",NOW(),C908))</f>
      </c>
    </row>
    <row r="909">
      <c r="A909" s="4">
        <f>IF(B909="","",ROW()-1)</f>
      </c>
      <c r="B909" s="5"/>
      <c r="C909" s="2">
        <f>IF(B909="","",IF(C909="",NOW(),C909))</f>
      </c>
    </row>
    <row r="910">
      <c r="A910" s="4">
        <f>IF(B910="","",ROW()-1)</f>
      </c>
      <c r="B910" s="5"/>
      <c r="C910" s="2">
        <f>IF(B910="","",IF(C910="",NOW(),C910))</f>
      </c>
    </row>
    <row r="911">
      <c r="A911" s="4">
        <f>IF(B911="","",ROW()-1)</f>
      </c>
      <c r="B911" s="5"/>
      <c r="C911" s="2">
        <f>IF(B911="","",IF(C911="",NOW(),C911))</f>
      </c>
    </row>
    <row r="912">
      <c r="A912" s="4">
        <f>IF(B912="","",ROW()-1)</f>
      </c>
      <c r="B912" s="5"/>
      <c r="C912" s="2">
        <f>IF(B912="","",IF(C912="",NOW(),C912))</f>
      </c>
    </row>
    <row r="913">
      <c r="A913" s="4">
        <f>IF(B913="","",ROW()-1)</f>
      </c>
      <c r="B913" s="5"/>
      <c r="C913" s="2">
        <f>IF(B913="","",IF(C913="",NOW(),C913))</f>
      </c>
    </row>
    <row r="914">
      <c r="A914" s="4">
        <f>IF(B914="","",ROW()-1)</f>
      </c>
      <c r="B914" s="5"/>
      <c r="C914" s="2">
        <f>IF(B914="","",IF(C914="",NOW(),C914))</f>
      </c>
    </row>
    <row r="915">
      <c r="A915" s="4">
        <f>IF(B915="","",ROW()-1)</f>
      </c>
      <c r="B915" s="5"/>
      <c r="C915" s="2">
        <f>IF(B915="","",IF(C915="",NOW(),C915))</f>
      </c>
    </row>
    <row r="916">
      <c r="A916" s="4">
        <f>IF(B916="","",ROW()-1)</f>
      </c>
      <c r="B916" s="5"/>
      <c r="C916" s="2">
        <f>IF(B916="","",IF(C916="",NOW(),C916))</f>
      </c>
    </row>
    <row r="917">
      <c r="A917" s="4">
        <f>IF(B917="","",ROW()-1)</f>
      </c>
      <c r="B917" s="5"/>
      <c r="C917" s="2">
        <f>IF(B917="","",IF(C917="",NOW(),C917))</f>
      </c>
    </row>
    <row r="918">
      <c r="A918" s="4">
        <f>IF(B918="","",ROW()-1)</f>
      </c>
      <c r="B918" s="5"/>
      <c r="C918" s="2">
        <f>IF(B918="","",IF(C918="",NOW(),C918))</f>
      </c>
    </row>
    <row r="919">
      <c r="A919" s="4">
        <f>IF(B919="","",ROW()-1)</f>
      </c>
      <c r="B919" s="5"/>
      <c r="C919" s="2">
        <f>IF(B919="","",IF(C919="",NOW(),C919))</f>
      </c>
    </row>
    <row r="920">
      <c r="A920" s="4">
        <f>IF(B920="","",ROW()-1)</f>
      </c>
      <c r="B920" s="5"/>
      <c r="C920" s="2">
        <f>IF(B920="","",IF(C920="",NOW(),C920))</f>
      </c>
    </row>
    <row r="921">
      <c r="A921" s="4">
        <f>IF(B921="","",ROW()-1)</f>
      </c>
      <c r="B921" s="5"/>
      <c r="C921" s="2">
        <f>IF(B921="","",IF(C921="",NOW(),C921))</f>
      </c>
    </row>
    <row r="922">
      <c r="A922" s="4">
        <f>IF(B922="","",ROW()-1)</f>
      </c>
      <c r="B922" s="5"/>
      <c r="C922" s="2">
        <f>IF(B922="","",IF(C922="",NOW(),C922))</f>
      </c>
    </row>
    <row r="923">
      <c r="A923" s="4">
        <f>IF(B923="","",ROW()-1)</f>
      </c>
      <c r="B923" s="5"/>
      <c r="C923" s="2">
        <f>IF(B923="","",IF(C923="",NOW(),C923))</f>
      </c>
    </row>
    <row r="924">
      <c r="A924" s="4">
        <f>IF(B924="","",ROW()-1)</f>
      </c>
      <c r="B924" s="5"/>
      <c r="C924" s="2">
        <f>IF(B924="","",IF(C924="",NOW(),C924))</f>
      </c>
    </row>
    <row r="925">
      <c r="A925" s="4">
        <f>IF(B925="","",ROW()-1)</f>
      </c>
      <c r="B925" s="5"/>
      <c r="C925" s="2">
        <f>IF(B925="","",IF(C925="",NOW(),C925))</f>
      </c>
    </row>
    <row r="926">
      <c r="A926" s="4">
        <f>IF(B926="","",ROW()-1)</f>
      </c>
      <c r="B926" s="5"/>
      <c r="C926" s="2">
        <f>IF(B926="","",IF(C926="",NOW(),C926))</f>
      </c>
    </row>
    <row r="927">
      <c r="A927" s="4">
        <f>IF(B927="","",ROW()-1)</f>
      </c>
      <c r="B927" s="5"/>
      <c r="C927" s="2">
        <f>IF(B927="","",IF(C927="",NOW(),C927))</f>
      </c>
    </row>
    <row r="928">
      <c r="A928" s="4">
        <f>IF(B928="","",ROW()-1)</f>
      </c>
      <c r="B928" s="5"/>
      <c r="C928" s="2">
        <f>IF(B928="","",IF(C928="",NOW(),C928))</f>
      </c>
    </row>
    <row r="929">
      <c r="A929" s="4">
        <f>IF(B929="","",ROW()-1)</f>
      </c>
      <c r="B929" s="5"/>
      <c r="C929" s="2">
        <f>IF(B929="","",IF(C929="",NOW(),C929))</f>
      </c>
    </row>
    <row r="930">
      <c r="A930" s="4">
        <f>IF(B930="","",ROW()-1)</f>
      </c>
      <c r="B930" s="5"/>
      <c r="C930" s="2">
        <f>IF(B930="","",IF(C930="",NOW(),C930))</f>
      </c>
    </row>
    <row r="931">
      <c r="A931" s="4">
        <f>IF(B931="","",ROW()-1)</f>
      </c>
      <c r="B931" s="5"/>
      <c r="C931" s="2">
        <f>IF(B931="","",IF(C931="",NOW(),C931))</f>
      </c>
    </row>
    <row r="932">
      <c r="A932" s="4">
        <f>IF(B932="","",ROW()-1)</f>
      </c>
      <c r="B932" s="5"/>
      <c r="C932" s="2">
        <f>IF(B932="","",IF(C932="",NOW(),C932))</f>
      </c>
    </row>
    <row r="933">
      <c r="A933" s="4">
        <f>IF(B933="","",ROW()-1)</f>
      </c>
      <c r="B933" s="5"/>
      <c r="C933" s="2">
        <f>IF(B933="","",IF(C933="",NOW(),C933))</f>
      </c>
    </row>
    <row r="934">
      <c r="A934" s="4">
        <f>IF(B934="","",ROW()-1)</f>
      </c>
      <c r="B934" s="5"/>
      <c r="C934" s="2">
        <f>IF(B934="","",IF(C934="",NOW(),C934))</f>
      </c>
    </row>
    <row r="935">
      <c r="A935" s="4">
        <f>IF(B935="","",ROW()-1)</f>
      </c>
      <c r="B935" s="5"/>
      <c r="C935" s="2">
        <f>IF(B935="","",IF(C935="",NOW(),C935))</f>
      </c>
    </row>
    <row r="936">
      <c r="A936" s="4">
        <f>IF(B936="","",ROW()-1)</f>
      </c>
      <c r="B936" s="5"/>
      <c r="C936" s="2">
        <f>IF(B936="","",IF(C936="",NOW(),C936))</f>
      </c>
    </row>
    <row r="937">
      <c r="A937" s="4">
        <f>IF(B937="","",ROW()-1)</f>
      </c>
      <c r="B937" s="5"/>
      <c r="C937" s="2">
        <f>IF(B937="","",IF(C937="",NOW(),C937))</f>
      </c>
    </row>
    <row r="938">
      <c r="A938" s="4">
        <f>IF(B938="","",ROW()-1)</f>
      </c>
      <c r="B938" s="5"/>
      <c r="C938" s="2">
        <f>IF(B938="","",IF(C938="",NOW(),C938))</f>
      </c>
    </row>
    <row r="939">
      <c r="A939" s="4">
        <f>IF(B939="","",ROW()-1)</f>
      </c>
      <c r="B939" s="5"/>
      <c r="C939" s="2">
        <f>IF(B939="","",IF(C939="",NOW(),C939))</f>
      </c>
    </row>
    <row r="940">
      <c r="A940" s="4">
        <f>IF(B940="","",ROW()-1)</f>
      </c>
      <c r="B940" s="5"/>
      <c r="C940" s="2">
        <f>IF(B940="","",IF(C940="",NOW(),C940))</f>
      </c>
    </row>
    <row r="941">
      <c r="A941" s="4">
        <f>IF(B941="","",ROW()-1)</f>
      </c>
      <c r="B941" s="5"/>
      <c r="C941" s="2">
        <f>IF(B941="","",IF(C941="",NOW(),C941))</f>
      </c>
    </row>
    <row r="942">
      <c r="A942" s="4">
        <f>IF(B942="","",ROW()-1)</f>
      </c>
      <c r="B942" s="5"/>
      <c r="C942" s="2">
        <f>IF(B942="","",IF(C942="",NOW(),C942))</f>
      </c>
    </row>
    <row r="943">
      <c r="A943" s="4">
        <f>IF(B943="","",ROW()-1)</f>
      </c>
      <c r="B943" s="5"/>
      <c r="C943" s="2">
        <f>IF(B943="","",IF(C943="",NOW(),C943))</f>
      </c>
    </row>
    <row r="944">
      <c r="A944" s="4">
        <f>IF(B944="","",ROW()-1)</f>
      </c>
      <c r="B944" s="5"/>
      <c r="C944" s="2">
        <f>IF(B944="","",IF(C944="",NOW(),C944))</f>
      </c>
    </row>
    <row r="945">
      <c r="A945" s="4">
        <f>IF(B945="","",ROW()-1)</f>
      </c>
      <c r="B945" s="5"/>
      <c r="C945" s="2">
        <f>IF(B945="","",IF(C945="",NOW(),C945))</f>
      </c>
    </row>
    <row r="946">
      <c r="A946" s="4">
        <f>IF(B946="","",ROW()-1)</f>
      </c>
      <c r="B946" s="5"/>
      <c r="C946" s="2">
        <f>IF(B946="","",IF(C946="",NOW(),C946))</f>
      </c>
    </row>
    <row r="947">
      <c r="A947" s="4">
        <f>IF(B947="","",ROW()-1)</f>
      </c>
      <c r="B947" s="5"/>
      <c r="C947" s="2">
        <f>IF(B947="","",IF(C947="",NOW(),C947))</f>
      </c>
    </row>
    <row r="948">
      <c r="A948" s="4">
        <f>IF(B948="","",ROW()-1)</f>
      </c>
      <c r="B948" s="5"/>
      <c r="C948" s="2">
        <f>IF(B948="","",IF(C948="",NOW(),C948))</f>
      </c>
    </row>
    <row r="949">
      <c r="A949" s="4">
        <f>IF(B949="","",ROW()-1)</f>
      </c>
      <c r="B949" s="5"/>
      <c r="C949" s="2">
        <f>IF(B949="","",IF(C949="",NOW(),C949))</f>
      </c>
    </row>
    <row r="950">
      <c r="A950" s="4">
        <f>IF(B950="","",ROW()-1)</f>
      </c>
      <c r="B950" s="5"/>
      <c r="C950" s="2">
        <f>IF(B950="","",IF(C950="",NOW(),C950))</f>
      </c>
    </row>
    <row r="951">
      <c r="A951" s="4">
        <f>IF(B951="","",ROW()-1)</f>
      </c>
      <c r="B951" s="5"/>
      <c r="C951" s="2">
        <f>IF(B951="","",IF(C951="",NOW(),C951))</f>
      </c>
    </row>
    <row r="952">
      <c r="A952" s="4">
        <f>IF(B952="","",ROW()-1)</f>
      </c>
      <c r="B952" s="5"/>
      <c r="C952" s="2">
        <f>IF(B952="","",IF(C952="",NOW(),C952))</f>
      </c>
    </row>
    <row r="953">
      <c r="A953" s="4">
        <f>IF(B953="","",ROW()-1)</f>
      </c>
      <c r="B953" s="5"/>
      <c r="C953" s="2">
        <f>IF(B953="","",IF(C953="",NOW(),C953))</f>
      </c>
    </row>
    <row r="954">
      <c r="A954" s="4">
        <f>IF(B954="","",ROW()-1)</f>
      </c>
      <c r="B954" s="5"/>
      <c r="C954" s="2">
        <f>IF(B954="","",IF(C954="",NOW(),C954))</f>
      </c>
    </row>
    <row r="955">
      <c r="A955" s="4">
        <f>IF(B955="","",ROW()-1)</f>
      </c>
      <c r="B955" s="5"/>
      <c r="C955" s="2">
        <f>IF(B955="","",IF(C955="",NOW(),C955))</f>
      </c>
    </row>
    <row r="956">
      <c r="A956" s="4">
        <f>IF(B956="","",ROW()-1)</f>
      </c>
      <c r="B956" s="5"/>
      <c r="C956" s="2">
        <f>IF(B956="","",IF(C956="",NOW(),C956))</f>
      </c>
    </row>
    <row r="957">
      <c r="A957" s="4">
        <f>IF(B957="","",ROW()-1)</f>
      </c>
      <c r="B957" s="5"/>
      <c r="C957" s="2">
        <f>IF(B957="","",IF(C957="",NOW(),C957))</f>
      </c>
    </row>
    <row r="958">
      <c r="A958" s="4">
        <f>IF(B958="","",ROW()-1)</f>
      </c>
      <c r="B958" s="5"/>
      <c r="C958" s="2">
        <f>IF(B958="","",IF(C958="",NOW(),C958))</f>
      </c>
    </row>
    <row r="959">
      <c r="A959" s="4">
        <f>IF(B959="","",ROW()-1)</f>
      </c>
      <c r="B959" s="5"/>
      <c r="C959" s="2">
        <f>IF(B959="","",IF(C959="",NOW(),C959))</f>
      </c>
    </row>
    <row r="960">
      <c r="A960" s="4">
        <f>IF(B960="","",ROW()-1)</f>
      </c>
      <c r="B960" s="5"/>
      <c r="C960" s="2">
        <f>IF(B960="","",IF(C960="",NOW(),C960))</f>
      </c>
    </row>
    <row r="961">
      <c r="A961" s="4">
        <f>IF(B961="","",ROW()-1)</f>
      </c>
      <c r="B961" s="5"/>
      <c r="C961" s="2">
        <f>IF(B961="","",IF(C961="",NOW(),C961))</f>
      </c>
    </row>
    <row r="962">
      <c r="A962" s="4">
        <f>IF(B962="","",ROW()-1)</f>
      </c>
      <c r="B962" s="5"/>
      <c r="C962" s="2">
        <f>IF(B962="","",IF(C962="",NOW(),C962))</f>
      </c>
    </row>
    <row r="963">
      <c r="A963" s="4">
        <f>IF(B963="","",ROW()-1)</f>
      </c>
      <c r="B963" s="5"/>
      <c r="C963" s="2">
        <f>IF(B963="","",IF(C963="",NOW(),C963))</f>
      </c>
    </row>
    <row r="964">
      <c r="A964" s="4">
        <f>IF(B964="","",ROW()-1)</f>
      </c>
      <c r="B964" s="5"/>
      <c r="C964" s="2">
        <f>IF(B964="","",IF(C964="",NOW(),C964))</f>
      </c>
    </row>
    <row r="965">
      <c r="A965" s="4">
        <f>IF(B965="","",ROW()-1)</f>
      </c>
      <c r="B965" s="5"/>
      <c r="C965" s="2">
        <f>IF(B965="","",IF(C965="",NOW(),C965))</f>
      </c>
    </row>
    <row r="966">
      <c r="A966" s="4">
        <f>IF(B966="","",ROW()-1)</f>
      </c>
      <c r="B966" s="5"/>
      <c r="C966" s="2">
        <f>IF(B966="","",IF(C966="",NOW(),C966))</f>
      </c>
    </row>
    <row r="967">
      <c r="A967" s="4">
        <f>IF(B967="","",ROW()-1)</f>
      </c>
      <c r="B967" s="5"/>
      <c r="C967" s="2">
        <f>IF(B967="","",IF(C967="",NOW(),C967))</f>
      </c>
    </row>
    <row r="968">
      <c r="A968" s="4">
        <f>IF(B968="","",ROW()-1)</f>
      </c>
      <c r="B968" s="5"/>
      <c r="C968" s="2">
        <f>IF(B968="","",IF(C968="",NOW(),C968))</f>
      </c>
    </row>
    <row r="969">
      <c r="A969" s="4">
        <f>IF(B969="","",ROW()-1)</f>
      </c>
      <c r="B969" s="5"/>
      <c r="C969" s="2">
        <f>IF(B969="","",IF(C969="",NOW(),C969))</f>
      </c>
    </row>
    <row r="970">
      <c r="A970" s="4">
        <f>IF(B970="","",ROW()-1)</f>
      </c>
      <c r="B970" s="5"/>
      <c r="C970" s="2">
        <f>IF(B970="","",IF(C970="",NOW(),C970))</f>
      </c>
    </row>
    <row r="971">
      <c r="A971" s="4">
        <f>IF(B971="","",ROW()-1)</f>
      </c>
      <c r="B971" s="5"/>
      <c r="C971" s="2">
        <f>IF(B971="","",IF(C971="",NOW(),C971))</f>
      </c>
    </row>
    <row r="972">
      <c r="A972" s="4">
        <f>IF(B972="","",ROW()-1)</f>
      </c>
      <c r="B972" s="5"/>
      <c r="C972" s="2">
        <f>IF(B972="","",IF(C972="",NOW(),C972))</f>
      </c>
    </row>
    <row r="973">
      <c r="A973" s="4">
        <f>IF(B973="","",ROW()-1)</f>
      </c>
      <c r="B973" s="5"/>
      <c r="C973" s="2">
        <f>IF(B973="","",IF(C973="",NOW(),C973))</f>
      </c>
    </row>
    <row r="974">
      <c r="A974" s="4">
        <f>IF(B974="","",ROW()-1)</f>
      </c>
      <c r="B974" s="5"/>
      <c r="C974" s="2">
        <f>IF(B974="","",IF(C974="",NOW(),C974))</f>
      </c>
    </row>
    <row r="975">
      <c r="A975" s="4">
        <f>IF(B975="","",ROW()-1)</f>
      </c>
      <c r="B975" s="5"/>
      <c r="C975" s="2">
        <f>IF(B975="","",IF(C975="",NOW(),C975))</f>
      </c>
    </row>
    <row r="976">
      <c r="A976" s="4">
        <f>IF(B976="","",ROW()-1)</f>
      </c>
      <c r="B976" s="5"/>
      <c r="C976" s="2">
        <f>IF(B976="","",IF(C976="",NOW(),C976))</f>
      </c>
    </row>
    <row r="977">
      <c r="A977" s="4">
        <f>IF(B977="","",ROW()-1)</f>
      </c>
      <c r="B977" s="5"/>
      <c r="C977" s="2">
        <f>IF(B977="","",IF(C977="",NOW(),C977))</f>
      </c>
    </row>
    <row r="978">
      <c r="A978" s="4">
        <f>IF(B978="","",ROW()-1)</f>
      </c>
      <c r="B978" s="5"/>
      <c r="C978" s="2">
        <f>IF(B978="","",IF(C978="",NOW(),C978))</f>
      </c>
    </row>
    <row r="979">
      <c r="A979" s="4">
        <f>IF(B979="","",ROW()-1)</f>
      </c>
      <c r="B979" s="5"/>
      <c r="C979" s="2">
        <f>IF(B979="","",IF(C979="",NOW(),C979))</f>
      </c>
    </row>
    <row r="980">
      <c r="A980" s="4">
        <f>IF(B980="","",ROW()-1)</f>
      </c>
      <c r="B980" s="5"/>
      <c r="C980" s="2">
        <f>IF(B980="","",IF(C980="",NOW(),C980))</f>
      </c>
    </row>
    <row r="981">
      <c r="A981" s="4">
        <f>IF(B981="","",ROW()-1)</f>
      </c>
      <c r="B981" s="5"/>
      <c r="C981" s="2">
        <f>IF(B981="","",IF(C981="",NOW(),C981))</f>
      </c>
    </row>
    <row r="982">
      <c r="A982" s="4">
        <f>IF(B982="","",ROW()-1)</f>
      </c>
      <c r="B982" s="5"/>
      <c r="C982" s="2">
        <f>IF(B982="","",IF(C982="",NOW(),C982))</f>
      </c>
    </row>
    <row r="983">
      <c r="A983" s="4">
        <f>IF(B983="","",ROW()-1)</f>
      </c>
      <c r="B983" s="5"/>
      <c r="C983" s="2">
        <f>IF(B983="","",IF(C983="",NOW(),C983))</f>
      </c>
    </row>
    <row r="984">
      <c r="A984" s="4">
        <f>IF(B984="","",ROW()-1)</f>
      </c>
      <c r="B984" s="5"/>
      <c r="C984" s="2">
        <f>IF(B984="","",IF(C984="",NOW(),C984))</f>
      </c>
    </row>
    <row r="985">
      <c r="A985" s="4">
        <f>IF(B985="","",ROW()-1)</f>
      </c>
      <c r="B985" s="5"/>
      <c r="C985" s="2">
        <f>IF(B985="","",IF(C985="",NOW(),C985))</f>
      </c>
    </row>
    <row r="986">
      <c r="A986" s="4">
        <f>IF(B986="","",ROW()-1)</f>
      </c>
      <c r="B986" s="5"/>
      <c r="C986" s="2">
        <f>IF(B986="","",IF(C986="",NOW(),C986))</f>
      </c>
    </row>
    <row r="987">
      <c r="A987" s="4">
        <f>IF(B987="","",ROW()-1)</f>
      </c>
      <c r="B987" s="5"/>
      <c r="C987" s="2">
        <f>IF(B987="","",IF(C987="",NOW(),C987))</f>
      </c>
    </row>
    <row r="988">
      <c r="A988" s="4">
        <f>IF(B988="","",ROW()-1)</f>
      </c>
      <c r="B988" s="5"/>
      <c r="C988" s="2">
        <f>IF(B988="","",IF(C988="",NOW(),C988))</f>
      </c>
    </row>
    <row r="989">
      <c r="A989" s="4">
        <f>IF(B989="","",ROW()-1)</f>
      </c>
      <c r="B989" s="5"/>
      <c r="C989" s="2">
        <f>IF(B989="","",IF(C989="",NOW(),C989))</f>
      </c>
    </row>
    <row r="990">
      <c r="A990" s="4">
        <f>IF(B990="","",ROW()-1)</f>
      </c>
      <c r="B990" s="5"/>
      <c r="C990" s="2">
        <f>IF(B990="","",IF(C990="",NOW(),C990))</f>
      </c>
    </row>
    <row r="991">
      <c r="A991" s="4">
        <f>IF(B991="","",ROW()-1)</f>
      </c>
      <c r="B991" s="5"/>
      <c r="C991" s="2">
        <f>IF(B991="","",IF(C991="",NOW(),C991))</f>
      </c>
    </row>
    <row r="992">
      <c r="A992" s="4">
        <f>IF(B992="","",ROW()-1)</f>
      </c>
      <c r="B992" s="5"/>
      <c r="C992" s="2">
        <f>IF(B992="","",IF(C992="",NOW(),C992))</f>
      </c>
    </row>
    <row r="993">
      <c r="A993" s="4">
        <f>IF(B993="","",ROW()-1)</f>
      </c>
      <c r="B993" s="5"/>
      <c r="C993" s="2">
        <f>IF(B993="","",IF(C993="",NOW(),C993))</f>
      </c>
    </row>
    <row r="994">
      <c r="A994" s="4">
        <f>IF(B994="","",ROW()-1)</f>
      </c>
      <c r="B994" s="5"/>
      <c r="C994" s="2">
        <f>IF(B994="","",IF(C994="",NOW(),C994))</f>
      </c>
    </row>
    <row r="995">
      <c r="A995" s="4">
        <f>IF(B995="","",ROW()-1)</f>
      </c>
      <c r="B995" s="5"/>
      <c r="C995" s="2">
        <f>IF(B995="","",IF(C995="",NOW(),C995))</f>
      </c>
    </row>
    <row r="996">
      <c r="A996" s="4">
        <f>IF(B996="","",ROW()-1)</f>
      </c>
      <c r="B996" s="5"/>
      <c r="C996" s="2">
        <f>IF(B996="","",IF(C996="",NOW(),C996))</f>
      </c>
    </row>
    <row r="997">
      <c r="A997" s="4">
        <f>IF(B997="","",ROW()-1)</f>
      </c>
      <c r="B997" s="5"/>
      <c r="C997" s="2">
        <f>IF(B997="","",IF(C997="",NOW(),C997))</f>
      </c>
    </row>
    <row r="998">
      <c r="A998" s="4">
        <f>IF(B998="","",ROW()-1)</f>
      </c>
      <c r="B998" s="5"/>
      <c r="C998" s="2">
        <f>IF(B998="","",IF(C998="",NOW(),C998))</f>
      </c>
    </row>
    <row r="999">
      <c r="A999" s="4">
        <f>IF(B999="","",ROW()-1)</f>
      </c>
      <c r="B999" s="5"/>
      <c r="C999" s="2">
        <f>IF(B999="","",IF(C999="",NOW(),C999))</f>
      </c>
    </row>
    <row r="1000">
      <c r="A1000" s="4">
        <f>IF(B1000="","",ROW()-1)</f>
      </c>
      <c r="B1000" s="5"/>
      <c r="C1000" s="2">
        <f>IF(B1000="","",IF(C1000="",NOW(),C1000))</f>
      </c>
    </row>
  </sheetData>
  <conditionalFormatting sqref="B2:B1000">
    <cfRule type="expression" dxfId="0" priority="1">
      <formula>AND(B2&lt;&gt;"",NOT(AND(COUNTIF('Input Barang'!$B$2:$B$1000,B2)&gt;=1,COUNTIF($B$2:$B$1000,B2)&lt;=1,COUNTIF('Output Agus'!$B$2:$B$1000,B2)=0)))</formula>
    </cfRule>
  </conditionalFormatting>
  <dataValidations count="1">
    <dataValidation type="custom" allowBlank="1" showInputMessage="0" showErrorMessage="1" errorStyle="stop" errorTitle="Kode Tidak Valid" error="Kode ditolak. Kemungkinan: (1) kode tidak ada di sheet Input Barang, (2) kode sudah discan di sheet ini, atau (3) kode sudah discan di sheet Output Agus." sqref="B2:B1000">
      <formula1>AND(COUNTIF('Input Barang'!$B$2:$B$1000,B2)&gt;=1,COUNTIF($B$2:$B$1000,B2)&lt;=1,COUNTIF('Output Agus'!$B$2:$B$1000,B2)=0)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E1000"/>
  <sheetViews>
    <sheetView workbookViewId="0">
      <selection activeCell="A1" sqref="A1"/>
    </sheetView>
  </sheetViews>
  <sheetFormatPr defaultRowHeight="15"/>
  <cols>
    <col min="1" max="1" width="30" customWidth="1"/>
    <col min="2" max="5" width="16" customWidth="1"/>
  </cols>
  <sheetData>
    <row r="1" ht="26" customHeight="1">
      <c r="A1" s="3" t="s">
        <v>4</v>
      </c>
    </row>
    <row r="3">
      <c r="A3" s="6" t="s">
        <v>5</v>
      </c>
      <c r="B3" s="6" t="s">
        <v>6</v>
      </c>
    </row>
    <row r="4">
      <c r="A4" s="5" t="s">
        <v>7</v>
      </c>
      <c r="B4" s="4">
        <f>COUNTA('Input Barang'!B2:B1000)</f>
      </c>
    </row>
    <row r="5">
      <c r="A5" s="5" t="s">
        <v>8</v>
      </c>
      <c r="B5" s="4">
        <f>COUNTA('Output Agus'!B2:B1000)</f>
      </c>
    </row>
    <row r="6">
      <c r="A6" s="5" t="s">
        <v>9</v>
      </c>
      <c r="B6" s="4">
        <f>COUNTA('Output Rexa'!B2:B1000)</f>
      </c>
    </row>
    <row r="7">
      <c r="A7" s="5" t="s">
        <v>10</v>
      </c>
      <c r="B7" s="4">
        <f>B5+B6</f>
      </c>
    </row>
    <row r="8">
      <c r="A8" s="5" t="s">
        <v>11</v>
      </c>
      <c r="B8" s="4">
        <f>B4-B7</f>
      </c>
    </row>
    <row r="10" ht="20" customHeight="1">
      <c r="A10" s="3" t="s">
        <v>12</v>
      </c>
    </row>
    <row r="11">
      <c r="A11" s="6" t="s">
        <v>1</v>
      </c>
      <c r="B11" s="6" t="s">
        <v>13</v>
      </c>
      <c r="C11" s="6" t="s">
        <v>14</v>
      </c>
      <c r="D11" s="6" t="s">
        <v>15</v>
      </c>
      <c r="E11" s="6" t="s">
        <v>16</v>
      </c>
    </row>
    <row r="12">
      <c r="A12" s="5">
        <f>IFERROR(INDEX('Input Barang'!$B$2:$B$1000,1),"")</f>
      </c>
      <c r="B12" s="4">
        <f>IF(A12="","",COUNTIF('Input Barang'!$B$2:$B$1000,A12))</f>
      </c>
      <c r="C12" s="4">
        <f>IF(A12="","",COUNTIF('Output Agus'!$B$2:$B$1000,A12))</f>
      </c>
      <c r="D12" s="4">
        <f>IF(A12="","",COUNTIF('Output Rexa'!$B$2:$B$1000,A12))</f>
      </c>
      <c r="E12" s="4">
        <f>IF(A12="","",B12-C12-D12)</f>
      </c>
    </row>
    <row r="13">
      <c r="A13" s="5">
        <f>IFERROR(INDEX('Input Barang'!$B$2:$B$1000,2),"")</f>
      </c>
      <c r="B13" s="4">
        <f>IF(A13="","",COUNTIF('Input Barang'!$B$2:$B$1000,A13))</f>
      </c>
      <c r="C13" s="4">
        <f>IF(A13="","",COUNTIF('Output Agus'!$B$2:$B$1000,A13))</f>
      </c>
      <c r="D13" s="4">
        <f>IF(A13="","",COUNTIF('Output Rexa'!$B$2:$B$1000,A13))</f>
      </c>
      <c r="E13" s="4">
        <f>IF(A13="","",B13-C13-D13)</f>
      </c>
    </row>
    <row r="14">
      <c r="A14" s="5">
        <f>IFERROR(INDEX('Input Barang'!$B$2:$B$1000,3),"")</f>
      </c>
      <c r="B14" s="4">
        <f>IF(A14="","",COUNTIF('Input Barang'!$B$2:$B$1000,A14))</f>
      </c>
      <c r="C14" s="4">
        <f>IF(A14="","",COUNTIF('Output Agus'!$B$2:$B$1000,A14))</f>
      </c>
      <c r="D14" s="4">
        <f>IF(A14="","",COUNTIF('Output Rexa'!$B$2:$B$1000,A14))</f>
      </c>
      <c r="E14" s="4">
        <f>IF(A14="","",B14-C14-D14)</f>
      </c>
    </row>
    <row r="15">
      <c r="A15" s="5">
        <f>IFERROR(INDEX('Input Barang'!$B$2:$B$1000,4),"")</f>
      </c>
      <c r="B15" s="4">
        <f>IF(A15="","",COUNTIF('Input Barang'!$B$2:$B$1000,A15))</f>
      </c>
      <c r="C15" s="4">
        <f>IF(A15="","",COUNTIF('Output Agus'!$B$2:$B$1000,A15))</f>
      </c>
      <c r="D15" s="4">
        <f>IF(A15="","",COUNTIF('Output Rexa'!$B$2:$B$1000,A15))</f>
      </c>
      <c r="E15" s="4">
        <f>IF(A15="","",B15-C15-D15)</f>
      </c>
    </row>
    <row r="16">
      <c r="A16" s="5">
        <f>IFERROR(INDEX('Input Barang'!$B$2:$B$1000,5),"")</f>
      </c>
      <c r="B16" s="4">
        <f>IF(A16="","",COUNTIF('Input Barang'!$B$2:$B$1000,A16))</f>
      </c>
      <c r="C16" s="4">
        <f>IF(A16="","",COUNTIF('Output Agus'!$B$2:$B$1000,A16))</f>
      </c>
      <c r="D16" s="4">
        <f>IF(A16="","",COUNTIF('Output Rexa'!$B$2:$B$1000,A16))</f>
      </c>
      <c r="E16" s="4">
        <f>IF(A16="","",B16-C16-D16)</f>
      </c>
    </row>
    <row r="17">
      <c r="A17" s="5">
        <f>IFERROR(INDEX('Input Barang'!$B$2:$B$1000,6),"")</f>
      </c>
      <c r="B17" s="4">
        <f>IF(A17="","",COUNTIF('Input Barang'!$B$2:$B$1000,A17))</f>
      </c>
      <c r="C17" s="4">
        <f>IF(A17="","",COUNTIF('Output Agus'!$B$2:$B$1000,A17))</f>
      </c>
      <c r="D17" s="4">
        <f>IF(A17="","",COUNTIF('Output Rexa'!$B$2:$B$1000,A17))</f>
      </c>
      <c r="E17" s="4">
        <f>IF(A17="","",B17-C17-D17)</f>
      </c>
    </row>
    <row r="18">
      <c r="A18" s="5">
        <f>IFERROR(INDEX('Input Barang'!$B$2:$B$1000,7),"")</f>
      </c>
      <c r="B18" s="4">
        <f>IF(A18="","",COUNTIF('Input Barang'!$B$2:$B$1000,A18))</f>
      </c>
      <c r="C18" s="4">
        <f>IF(A18="","",COUNTIF('Output Agus'!$B$2:$B$1000,A18))</f>
      </c>
      <c r="D18" s="4">
        <f>IF(A18="","",COUNTIF('Output Rexa'!$B$2:$B$1000,A18))</f>
      </c>
      <c r="E18" s="4">
        <f>IF(A18="","",B18-C18-D18)</f>
      </c>
    </row>
    <row r="19">
      <c r="A19" s="5">
        <f>IFERROR(INDEX('Input Barang'!$B$2:$B$1000,8),"")</f>
      </c>
      <c r="B19" s="4">
        <f>IF(A19="","",COUNTIF('Input Barang'!$B$2:$B$1000,A19))</f>
      </c>
      <c r="C19" s="4">
        <f>IF(A19="","",COUNTIF('Output Agus'!$B$2:$B$1000,A19))</f>
      </c>
      <c r="D19" s="4">
        <f>IF(A19="","",COUNTIF('Output Rexa'!$B$2:$B$1000,A19))</f>
      </c>
      <c r="E19" s="4">
        <f>IF(A19="","",B19-C19-D19)</f>
      </c>
    </row>
    <row r="20">
      <c r="A20" s="5">
        <f>IFERROR(INDEX('Input Barang'!$B$2:$B$1000,9),"")</f>
      </c>
      <c r="B20" s="4">
        <f>IF(A20="","",COUNTIF('Input Barang'!$B$2:$B$1000,A20))</f>
      </c>
      <c r="C20" s="4">
        <f>IF(A20="","",COUNTIF('Output Agus'!$B$2:$B$1000,A20))</f>
      </c>
      <c r="D20" s="4">
        <f>IF(A20="","",COUNTIF('Output Rexa'!$B$2:$B$1000,A20))</f>
      </c>
      <c r="E20" s="4">
        <f>IF(A20="","",B20-C20-D20)</f>
      </c>
    </row>
    <row r="21">
      <c r="A21" s="5">
        <f>IFERROR(INDEX('Input Barang'!$B$2:$B$1000,10),"")</f>
      </c>
      <c r="B21" s="4">
        <f>IF(A21="","",COUNTIF('Input Barang'!$B$2:$B$1000,A21))</f>
      </c>
      <c r="C21" s="4">
        <f>IF(A21="","",COUNTIF('Output Agus'!$B$2:$B$1000,A21))</f>
      </c>
      <c r="D21" s="4">
        <f>IF(A21="","",COUNTIF('Output Rexa'!$B$2:$B$1000,A21))</f>
      </c>
      <c r="E21" s="4">
        <f>IF(A21="","",B21-C21-D21)</f>
      </c>
    </row>
    <row r="22">
      <c r="A22" s="5">
        <f>IFERROR(INDEX('Input Barang'!$B$2:$B$1000,11),"")</f>
      </c>
      <c r="B22" s="4">
        <f>IF(A22="","",COUNTIF('Input Barang'!$B$2:$B$1000,A22))</f>
      </c>
      <c r="C22" s="4">
        <f>IF(A22="","",COUNTIF('Output Agus'!$B$2:$B$1000,A22))</f>
      </c>
      <c r="D22" s="4">
        <f>IF(A22="","",COUNTIF('Output Rexa'!$B$2:$B$1000,A22))</f>
      </c>
      <c r="E22" s="4">
        <f>IF(A22="","",B22-C22-D22)</f>
      </c>
    </row>
    <row r="23">
      <c r="A23" s="5">
        <f>IFERROR(INDEX('Input Barang'!$B$2:$B$1000,12),"")</f>
      </c>
      <c r="B23" s="4">
        <f>IF(A23="","",COUNTIF('Input Barang'!$B$2:$B$1000,A23))</f>
      </c>
      <c r="C23" s="4">
        <f>IF(A23="","",COUNTIF('Output Agus'!$B$2:$B$1000,A23))</f>
      </c>
      <c r="D23" s="4">
        <f>IF(A23="","",COUNTIF('Output Rexa'!$B$2:$B$1000,A23))</f>
      </c>
      <c r="E23" s="4">
        <f>IF(A23="","",B23-C23-D23)</f>
      </c>
    </row>
    <row r="24">
      <c r="A24" s="5">
        <f>IFERROR(INDEX('Input Barang'!$B$2:$B$1000,13),"")</f>
      </c>
      <c r="B24" s="4">
        <f>IF(A24="","",COUNTIF('Input Barang'!$B$2:$B$1000,A24))</f>
      </c>
      <c r="C24" s="4">
        <f>IF(A24="","",COUNTIF('Output Agus'!$B$2:$B$1000,A24))</f>
      </c>
      <c r="D24" s="4">
        <f>IF(A24="","",COUNTIF('Output Rexa'!$B$2:$B$1000,A24))</f>
      </c>
      <c r="E24" s="4">
        <f>IF(A24="","",B24-C24-D24)</f>
      </c>
    </row>
    <row r="25">
      <c r="A25" s="5">
        <f>IFERROR(INDEX('Input Barang'!$B$2:$B$1000,14),"")</f>
      </c>
      <c r="B25" s="4">
        <f>IF(A25="","",COUNTIF('Input Barang'!$B$2:$B$1000,A25))</f>
      </c>
      <c r="C25" s="4">
        <f>IF(A25="","",COUNTIF('Output Agus'!$B$2:$B$1000,A25))</f>
      </c>
      <c r="D25" s="4">
        <f>IF(A25="","",COUNTIF('Output Rexa'!$B$2:$B$1000,A25))</f>
      </c>
      <c r="E25" s="4">
        <f>IF(A25="","",B25-C25-D25)</f>
      </c>
    </row>
    <row r="26">
      <c r="A26" s="5">
        <f>IFERROR(INDEX('Input Barang'!$B$2:$B$1000,15),"")</f>
      </c>
      <c r="B26" s="4">
        <f>IF(A26="","",COUNTIF('Input Barang'!$B$2:$B$1000,A26))</f>
      </c>
      <c r="C26" s="4">
        <f>IF(A26="","",COUNTIF('Output Agus'!$B$2:$B$1000,A26))</f>
      </c>
      <c r="D26" s="4">
        <f>IF(A26="","",COUNTIF('Output Rexa'!$B$2:$B$1000,A26))</f>
      </c>
      <c r="E26" s="4">
        <f>IF(A26="","",B26-C26-D26)</f>
      </c>
    </row>
    <row r="27">
      <c r="A27" s="5">
        <f>IFERROR(INDEX('Input Barang'!$B$2:$B$1000,16),"")</f>
      </c>
      <c r="B27" s="4">
        <f>IF(A27="","",COUNTIF('Input Barang'!$B$2:$B$1000,A27))</f>
      </c>
      <c r="C27" s="4">
        <f>IF(A27="","",COUNTIF('Output Agus'!$B$2:$B$1000,A27))</f>
      </c>
      <c r="D27" s="4">
        <f>IF(A27="","",COUNTIF('Output Rexa'!$B$2:$B$1000,A27))</f>
      </c>
      <c r="E27" s="4">
        <f>IF(A27="","",B27-C27-D27)</f>
      </c>
    </row>
    <row r="28">
      <c r="A28" s="5">
        <f>IFERROR(INDEX('Input Barang'!$B$2:$B$1000,17),"")</f>
      </c>
      <c r="B28" s="4">
        <f>IF(A28="","",COUNTIF('Input Barang'!$B$2:$B$1000,A28))</f>
      </c>
      <c r="C28" s="4">
        <f>IF(A28="","",COUNTIF('Output Agus'!$B$2:$B$1000,A28))</f>
      </c>
      <c r="D28" s="4">
        <f>IF(A28="","",COUNTIF('Output Rexa'!$B$2:$B$1000,A28))</f>
      </c>
      <c r="E28" s="4">
        <f>IF(A28="","",B28-C28-D28)</f>
      </c>
    </row>
    <row r="29">
      <c r="A29" s="5">
        <f>IFERROR(INDEX('Input Barang'!$B$2:$B$1000,18),"")</f>
      </c>
      <c r="B29" s="4">
        <f>IF(A29="","",COUNTIF('Input Barang'!$B$2:$B$1000,A29))</f>
      </c>
      <c r="C29" s="4">
        <f>IF(A29="","",COUNTIF('Output Agus'!$B$2:$B$1000,A29))</f>
      </c>
      <c r="D29" s="4">
        <f>IF(A29="","",COUNTIF('Output Rexa'!$B$2:$B$1000,A29))</f>
      </c>
      <c r="E29" s="4">
        <f>IF(A29="","",B29-C29-D29)</f>
      </c>
    </row>
    <row r="30">
      <c r="A30" s="5">
        <f>IFERROR(INDEX('Input Barang'!$B$2:$B$1000,19),"")</f>
      </c>
      <c r="B30" s="4">
        <f>IF(A30="","",COUNTIF('Input Barang'!$B$2:$B$1000,A30))</f>
      </c>
      <c r="C30" s="4">
        <f>IF(A30="","",COUNTIF('Output Agus'!$B$2:$B$1000,A30))</f>
      </c>
      <c r="D30" s="4">
        <f>IF(A30="","",COUNTIF('Output Rexa'!$B$2:$B$1000,A30))</f>
      </c>
      <c r="E30" s="4">
        <f>IF(A30="","",B30-C30-D30)</f>
      </c>
    </row>
    <row r="31">
      <c r="A31" s="5">
        <f>IFERROR(INDEX('Input Barang'!$B$2:$B$1000,20),"")</f>
      </c>
      <c r="B31" s="4">
        <f>IF(A31="","",COUNTIF('Input Barang'!$B$2:$B$1000,A31))</f>
      </c>
      <c r="C31" s="4">
        <f>IF(A31="","",COUNTIF('Output Agus'!$B$2:$B$1000,A31))</f>
      </c>
      <c r="D31" s="4">
        <f>IF(A31="","",COUNTIF('Output Rexa'!$B$2:$B$1000,A31))</f>
      </c>
      <c r="E31" s="4">
        <f>IF(A31="","",B31-C31-D31)</f>
      </c>
    </row>
    <row r="32">
      <c r="A32" s="5">
        <f>IFERROR(INDEX('Input Barang'!$B$2:$B$1000,21),"")</f>
      </c>
      <c r="B32" s="4">
        <f>IF(A32="","",COUNTIF('Input Barang'!$B$2:$B$1000,A32))</f>
      </c>
      <c r="C32" s="4">
        <f>IF(A32="","",COUNTIF('Output Agus'!$B$2:$B$1000,A32))</f>
      </c>
      <c r="D32" s="4">
        <f>IF(A32="","",COUNTIF('Output Rexa'!$B$2:$B$1000,A32))</f>
      </c>
      <c r="E32" s="4">
        <f>IF(A32="","",B32-C32-D32)</f>
      </c>
    </row>
    <row r="33">
      <c r="A33" s="5">
        <f>IFERROR(INDEX('Input Barang'!$B$2:$B$1000,22),"")</f>
      </c>
      <c r="B33" s="4">
        <f>IF(A33="","",COUNTIF('Input Barang'!$B$2:$B$1000,A33))</f>
      </c>
      <c r="C33" s="4">
        <f>IF(A33="","",COUNTIF('Output Agus'!$B$2:$B$1000,A33))</f>
      </c>
      <c r="D33" s="4">
        <f>IF(A33="","",COUNTIF('Output Rexa'!$B$2:$B$1000,A33))</f>
      </c>
      <c r="E33" s="4">
        <f>IF(A33="","",B33-C33-D33)</f>
      </c>
    </row>
    <row r="34">
      <c r="A34" s="5">
        <f>IFERROR(INDEX('Input Barang'!$B$2:$B$1000,23),"")</f>
      </c>
      <c r="B34" s="4">
        <f>IF(A34="","",COUNTIF('Input Barang'!$B$2:$B$1000,A34))</f>
      </c>
      <c r="C34" s="4">
        <f>IF(A34="","",COUNTIF('Output Agus'!$B$2:$B$1000,A34))</f>
      </c>
      <c r="D34" s="4">
        <f>IF(A34="","",COUNTIF('Output Rexa'!$B$2:$B$1000,A34))</f>
      </c>
      <c r="E34" s="4">
        <f>IF(A34="","",B34-C34-D34)</f>
      </c>
    </row>
    <row r="35">
      <c r="A35" s="5">
        <f>IFERROR(INDEX('Input Barang'!$B$2:$B$1000,24),"")</f>
      </c>
      <c r="B35" s="4">
        <f>IF(A35="","",COUNTIF('Input Barang'!$B$2:$B$1000,A35))</f>
      </c>
      <c r="C35" s="4">
        <f>IF(A35="","",COUNTIF('Output Agus'!$B$2:$B$1000,A35))</f>
      </c>
      <c r="D35" s="4">
        <f>IF(A35="","",COUNTIF('Output Rexa'!$B$2:$B$1000,A35))</f>
      </c>
      <c r="E35" s="4">
        <f>IF(A35="","",B35-C35-D35)</f>
      </c>
    </row>
    <row r="36">
      <c r="A36" s="5">
        <f>IFERROR(INDEX('Input Barang'!$B$2:$B$1000,25),"")</f>
      </c>
      <c r="B36" s="4">
        <f>IF(A36="","",COUNTIF('Input Barang'!$B$2:$B$1000,A36))</f>
      </c>
      <c r="C36" s="4">
        <f>IF(A36="","",COUNTIF('Output Agus'!$B$2:$B$1000,A36))</f>
      </c>
      <c r="D36" s="4">
        <f>IF(A36="","",COUNTIF('Output Rexa'!$B$2:$B$1000,A36))</f>
      </c>
      <c r="E36" s="4">
        <f>IF(A36="","",B36-C36-D36)</f>
      </c>
    </row>
    <row r="37">
      <c r="A37" s="5">
        <f>IFERROR(INDEX('Input Barang'!$B$2:$B$1000,26),"")</f>
      </c>
      <c r="B37" s="4">
        <f>IF(A37="","",COUNTIF('Input Barang'!$B$2:$B$1000,A37))</f>
      </c>
      <c r="C37" s="4">
        <f>IF(A37="","",COUNTIF('Output Agus'!$B$2:$B$1000,A37))</f>
      </c>
      <c r="D37" s="4">
        <f>IF(A37="","",COUNTIF('Output Rexa'!$B$2:$B$1000,A37))</f>
      </c>
      <c r="E37" s="4">
        <f>IF(A37="","",B37-C37-D37)</f>
      </c>
    </row>
    <row r="38">
      <c r="A38" s="5">
        <f>IFERROR(INDEX('Input Barang'!$B$2:$B$1000,27),"")</f>
      </c>
      <c r="B38" s="4">
        <f>IF(A38="","",COUNTIF('Input Barang'!$B$2:$B$1000,A38))</f>
      </c>
      <c r="C38" s="4">
        <f>IF(A38="","",COUNTIF('Output Agus'!$B$2:$B$1000,A38))</f>
      </c>
      <c r="D38" s="4">
        <f>IF(A38="","",COUNTIF('Output Rexa'!$B$2:$B$1000,A38))</f>
      </c>
      <c r="E38" s="4">
        <f>IF(A38="","",B38-C38-D38)</f>
      </c>
    </row>
    <row r="39">
      <c r="A39" s="5">
        <f>IFERROR(INDEX('Input Barang'!$B$2:$B$1000,28),"")</f>
      </c>
      <c r="B39" s="4">
        <f>IF(A39="","",COUNTIF('Input Barang'!$B$2:$B$1000,A39))</f>
      </c>
      <c r="C39" s="4">
        <f>IF(A39="","",COUNTIF('Output Agus'!$B$2:$B$1000,A39))</f>
      </c>
      <c r="D39" s="4">
        <f>IF(A39="","",COUNTIF('Output Rexa'!$B$2:$B$1000,A39))</f>
      </c>
      <c r="E39" s="4">
        <f>IF(A39="","",B39-C39-D39)</f>
      </c>
    </row>
    <row r="40">
      <c r="A40" s="5">
        <f>IFERROR(INDEX('Input Barang'!$B$2:$B$1000,29),"")</f>
      </c>
      <c r="B40" s="4">
        <f>IF(A40="","",COUNTIF('Input Barang'!$B$2:$B$1000,A40))</f>
      </c>
      <c r="C40" s="4">
        <f>IF(A40="","",COUNTIF('Output Agus'!$B$2:$B$1000,A40))</f>
      </c>
      <c r="D40" s="4">
        <f>IF(A40="","",COUNTIF('Output Rexa'!$B$2:$B$1000,A40))</f>
      </c>
      <c r="E40" s="4">
        <f>IF(A40="","",B40-C40-D40)</f>
      </c>
    </row>
    <row r="41">
      <c r="A41" s="5">
        <f>IFERROR(INDEX('Input Barang'!$B$2:$B$1000,30),"")</f>
      </c>
      <c r="B41" s="4">
        <f>IF(A41="","",COUNTIF('Input Barang'!$B$2:$B$1000,A41))</f>
      </c>
      <c r="C41" s="4">
        <f>IF(A41="","",COUNTIF('Output Agus'!$B$2:$B$1000,A41))</f>
      </c>
      <c r="D41" s="4">
        <f>IF(A41="","",COUNTIF('Output Rexa'!$B$2:$B$1000,A41))</f>
      </c>
      <c r="E41" s="4">
        <f>IF(A41="","",B41-C41-D41)</f>
      </c>
    </row>
    <row r="42">
      <c r="A42" s="5">
        <f>IFERROR(INDEX('Input Barang'!$B$2:$B$1000,31),"")</f>
      </c>
      <c r="B42" s="4">
        <f>IF(A42="","",COUNTIF('Input Barang'!$B$2:$B$1000,A42))</f>
      </c>
      <c r="C42" s="4">
        <f>IF(A42="","",COUNTIF('Output Agus'!$B$2:$B$1000,A42))</f>
      </c>
      <c r="D42" s="4">
        <f>IF(A42="","",COUNTIF('Output Rexa'!$B$2:$B$1000,A42))</f>
      </c>
      <c r="E42" s="4">
        <f>IF(A42="","",B42-C42-D42)</f>
      </c>
    </row>
    <row r="43">
      <c r="A43" s="5">
        <f>IFERROR(INDEX('Input Barang'!$B$2:$B$1000,32),"")</f>
      </c>
      <c r="B43" s="4">
        <f>IF(A43="","",COUNTIF('Input Barang'!$B$2:$B$1000,A43))</f>
      </c>
      <c r="C43" s="4">
        <f>IF(A43="","",COUNTIF('Output Agus'!$B$2:$B$1000,A43))</f>
      </c>
      <c r="D43" s="4">
        <f>IF(A43="","",COUNTIF('Output Rexa'!$B$2:$B$1000,A43))</f>
      </c>
      <c r="E43" s="4">
        <f>IF(A43="","",B43-C43-D43)</f>
      </c>
    </row>
    <row r="44">
      <c r="A44" s="5">
        <f>IFERROR(INDEX('Input Barang'!$B$2:$B$1000,33),"")</f>
      </c>
      <c r="B44" s="4">
        <f>IF(A44="","",COUNTIF('Input Barang'!$B$2:$B$1000,A44))</f>
      </c>
      <c r="C44" s="4">
        <f>IF(A44="","",COUNTIF('Output Agus'!$B$2:$B$1000,A44))</f>
      </c>
      <c r="D44" s="4">
        <f>IF(A44="","",COUNTIF('Output Rexa'!$B$2:$B$1000,A44))</f>
      </c>
      <c r="E44" s="4">
        <f>IF(A44="","",B44-C44-D44)</f>
      </c>
    </row>
    <row r="45">
      <c r="A45" s="5">
        <f>IFERROR(INDEX('Input Barang'!$B$2:$B$1000,34),"")</f>
      </c>
      <c r="B45" s="4">
        <f>IF(A45="","",COUNTIF('Input Barang'!$B$2:$B$1000,A45))</f>
      </c>
      <c r="C45" s="4">
        <f>IF(A45="","",COUNTIF('Output Agus'!$B$2:$B$1000,A45))</f>
      </c>
      <c r="D45" s="4">
        <f>IF(A45="","",COUNTIF('Output Rexa'!$B$2:$B$1000,A45))</f>
      </c>
      <c r="E45" s="4">
        <f>IF(A45="","",B45-C45-D45)</f>
      </c>
    </row>
    <row r="46">
      <c r="A46" s="5">
        <f>IFERROR(INDEX('Input Barang'!$B$2:$B$1000,35),"")</f>
      </c>
      <c r="B46" s="4">
        <f>IF(A46="","",COUNTIF('Input Barang'!$B$2:$B$1000,A46))</f>
      </c>
      <c r="C46" s="4">
        <f>IF(A46="","",COUNTIF('Output Agus'!$B$2:$B$1000,A46))</f>
      </c>
      <c r="D46" s="4">
        <f>IF(A46="","",COUNTIF('Output Rexa'!$B$2:$B$1000,A46))</f>
      </c>
      <c r="E46" s="4">
        <f>IF(A46="","",B46-C46-D46)</f>
      </c>
    </row>
    <row r="47">
      <c r="A47" s="5">
        <f>IFERROR(INDEX('Input Barang'!$B$2:$B$1000,36),"")</f>
      </c>
      <c r="B47" s="4">
        <f>IF(A47="","",COUNTIF('Input Barang'!$B$2:$B$1000,A47))</f>
      </c>
      <c r="C47" s="4">
        <f>IF(A47="","",COUNTIF('Output Agus'!$B$2:$B$1000,A47))</f>
      </c>
      <c r="D47" s="4">
        <f>IF(A47="","",COUNTIF('Output Rexa'!$B$2:$B$1000,A47))</f>
      </c>
      <c r="E47" s="4">
        <f>IF(A47="","",B47-C47-D47)</f>
      </c>
    </row>
    <row r="48">
      <c r="A48" s="5">
        <f>IFERROR(INDEX('Input Barang'!$B$2:$B$1000,37),"")</f>
      </c>
      <c r="B48" s="4">
        <f>IF(A48="","",COUNTIF('Input Barang'!$B$2:$B$1000,A48))</f>
      </c>
      <c r="C48" s="4">
        <f>IF(A48="","",COUNTIF('Output Agus'!$B$2:$B$1000,A48))</f>
      </c>
      <c r="D48" s="4">
        <f>IF(A48="","",COUNTIF('Output Rexa'!$B$2:$B$1000,A48))</f>
      </c>
      <c r="E48" s="4">
        <f>IF(A48="","",B48-C48-D48)</f>
      </c>
    </row>
    <row r="49">
      <c r="A49" s="5">
        <f>IFERROR(INDEX('Input Barang'!$B$2:$B$1000,38),"")</f>
      </c>
      <c r="B49" s="4">
        <f>IF(A49="","",COUNTIF('Input Barang'!$B$2:$B$1000,A49))</f>
      </c>
      <c r="C49" s="4">
        <f>IF(A49="","",COUNTIF('Output Agus'!$B$2:$B$1000,A49))</f>
      </c>
      <c r="D49" s="4">
        <f>IF(A49="","",COUNTIF('Output Rexa'!$B$2:$B$1000,A49))</f>
      </c>
      <c r="E49" s="4">
        <f>IF(A49="","",B49-C49-D49)</f>
      </c>
    </row>
    <row r="50">
      <c r="A50" s="5">
        <f>IFERROR(INDEX('Input Barang'!$B$2:$B$1000,39),"")</f>
      </c>
      <c r="B50" s="4">
        <f>IF(A50="","",COUNTIF('Input Barang'!$B$2:$B$1000,A50))</f>
      </c>
      <c r="C50" s="4">
        <f>IF(A50="","",COUNTIF('Output Agus'!$B$2:$B$1000,A50))</f>
      </c>
      <c r="D50" s="4">
        <f>IF(A50="","",COUNTIF('Output Rexa'!$B$2:$B$1000,A50))</f>
      </c>
      <c r="E50" s="4">
        <f>IF(A50="","",B50-C50-D50)</f>
      </c>
    </row>
    <row r="51">
      <c r="A51" s="5">
        <f>IFERROR(INDEX('Input Barang'!$B$2:$B$1000,40),"")</f>
      </c>
      <c r="B51" s="4">
        <f>IF(A51="","",COUNTIF('Input Barang'!$B$2:$B$1000,A51))</f>
      </c>
      <c r="C51" s="4">
        <f>IF(A51="","",COUNTIF('Output Agus'!$B$2:$B$1000,A51))</f>
      </c>
      <c r="D51" s="4">
        <f>IF(A51="","",COUNTIF('Output Rexa'!$B$2:$B$1000,A51))</f>
      </c>
      <c r="E51" s="4">
        <f>IF(A51="","",B51-C51-D51)</f>
      </c>
    </row>
    <row r="52">
      <c r="A52" s="5">
        <f>IFERROR(INDEX('Input Barang'!$B$2:$B$1000,41),"")</f>
      </c>
      <c r="B52" s="4">
        <f>IF(A52="","",COUNTIF('Input Barang'!$B$2:$B$1000,A52))</f>
      </c>
      <c r="C52" s="4">
        <f>IF(A52="","",COUNTIF('Output Agus'!$B$2:$B$1000,A52))</f>
      </c>
      <c r="D52" s="4">
        <f>IF(A52="","",COUNTIF('Output Rexa'!$B$2:$B$1000,A52))</f>
      </c>
      <c r="E52" s="4">
        <f>IF(A52="","",B52-C52-D52)</f>
      </c>
    </row>
    <row r="53">
      <c r="A53" s="5">
        <f>IFERROR(INDEX('Input Barang'!$B$2:$B$1000,42),"")</f>
      </c>
      <c r="B53" s="4">
        <f>IF(A53="","",COUNTIF('Input Barang'!$B$2:$B$1000,A53))</f>
      </c>
      <c r="C53" s="4">
        <f>IF(A53="","",COUNTIF('Output Agus'!$B$2:$B$1000,A53))</f>
      </c>
      <c r="D53" s="4">
        <f>IF(A53="","",COUNTIF('Output Rexa'!$B$2:$B$1000,A53))</f>
      </c>
      <c r="E53" s="4">
        <f>IF(A53="","",B53-C53-D53)</f>
      </c>
    </row>
    <row r="54">
      <c r="A54" s="5">
        <f>IFERROR(INDEX('Input Barang'!$B$2:$B$1000,43),"")</f>
      </c>
      <c r="B54" s="4">
        <f>IF(A54="","",COUNTIF('Input Barang'!$B$2:$B$1000,A54))</f>
      </c>
      <c r="C54" s="4">
        <f>IF(A54="","",COUNTIF('Output Agus'!$B$2:$B$1000,A54))</f>
      </c>
      <c r="D54" s="4">
        <f>IF(A54="","",COUNTIF('Output Rexa'!$B$2:$B$1000,A54))</f>
      </c>
      <c r="E54" s="4">
        <f>IF(A54="","",B54-C54-D54)</f>
      </c>
    </row>
    <row r="55">
      <c r="A55" s="5">
        <f>IFERROR(INDEX('Input Barang'!$B$2:$B$1000,44),"")</f>
      </c>
      <c r="B55" s="4">
        <f>IF(A55="","",COUNTIF('Input Barang'!$B$2:$B$1000,A55))</f>
      </c>
      <c r="C55" s="4">
        <f>IF(A55="","",COUNTIF('Output Agus'!$B$2:$B$1000,A55))</f>
      </c>
      <c r="D55" s="4">
        <f>IF(A55="","",COUNTIF('Output Rexa'!$B$2:$B$1000,A55))</f>
      </c>
      <c r="E55" s="4">
        <f>IF(A55="","",B55-C55-D55)</f>
      </c>
    </row>
    <row r="56">
      <c r="A56" s="5">
        <f>IFERROR(INDEX('Input Barang'!$B$2:$B$1000,45),"")</f>
      </c>
      <c r="B56" s="4">
        <f>IF(A56="","",COUNTIF('Input Barang'!$B$2:$B$1000,A56))</f>
      </c>
      <c r="C56" s="4">
        <f>IF(A56="","",COUNTIF('Output Agus'!$B$2:$B$1000,A56))</f>
      </c>
      <c r="D56" s="4">
        <f>IF(A56="","",COUNTIF('Output Rexa'!$B$2:$B$1000,A56))</f>
      </c>
      <c r="E56" s="4">
        <f>IF(A56="","",B56-C56-D56)</f>
      </c>
    </row>
    <row r="57">
      <c r="A57" s="5">
        <f>IFERROR(INDEX('Input Barang'!$B$2:$B$1000,46),"")</f>
      </c>
      <c r="B57" s="4">
        <f>IF(A57="","",COUNTIF('Input Barang'!$B$2:$B$1000,A57))</f>
      </c>
      <c r="C57" s="4">
        <f>IF(A57="","",COUNTIF('Output Agus'!$B$2:$B$1000,A57))</f>
      </c>
      <c r="D57" s="4">
        <f>IF(A57="","",COUNTIF('Output Rexa'!$B$2:$B$1000,A57))</f>
      </c>
      <c r="E57" s="4">
        <f>IF(A57="","",B57-C57-D57)</f>
      </c>
    </row>
    <row r="58">
      <c r="A58" s="5">
        <f>IFERROR(INDEX('Input Barang'!$B$2:$B$1000,47),"")</f>
      </c>
      <c r="B58" s="4">
        <f>IF(A58="","",COUNTIF('Input Barang'!$B$2:$B$1000,A58))</f>
      </c>
      <c r="C58" s="4">
        <f>IF(A58="","",COUNTIF('Output Agus'!$B$2:$B$1000,A58))</f>
      </c>
      <c r="D58" s="4">
        <f>IF(A58="","",COUNTIF('Output Rexa'!$B$2:$B$1000,A58))</f>
      </c>
      <c r="E58" s="4">
        <f>IF(A58="","",B58-C58-D58)</f>
      </c>
    </row>
    <row r="59">
      <c r="A59" s="5">
        <f>IFERROR(INDEX('Input Barang'!$B$2:$B$1000,48),"")</f>
      </c>
      <c r="B59" s="4">
        <f>IF(A59="","",COUNTIF('Input Barang'!$B$2:$B$1000,A59))</f>
      </c>
      <c r="C59" s="4">
        <f>IF(A59="","",COUNTIF('Output Agus'!$B$2:$B$1000,A59))</f>
      </c>
      <c r="D59" s="4">
        <f>IF(A59="","",COUNTIF('Output Rexa'!$B$2:$B$1000,A59))</f>
      </c>
      <c r="E59" s="4">
        <f>IF(A59="","",B59-C59-D59)</f>
      </c>
    </row>
    <row r="60">
      <c r="A60" s="5">
        <f>IFERROR(INDEX('Input Barang'!$B$2:$B$1000,49),"")</f>
      </c>
      <c r="B60" s="4">
        <f>IF(A60="","",COUNTIF('Input Barang'!$B$2:$B$1000,A60))</f>
      </c>
      <c r="C60" s="4">
        <f>IF(A60="","",COUNTIF('Output Agus'!$B$2:$B$1000,A60))</f>
      </c>
      <c r="D60" s="4">
        <f>IF(A60="","",COUNTIF('Output Rexa'!$B$2:$B$1000,A60))</f>
      </c>
      <c r="E60" s="4">
        <f>IF(A60="","",B60-C60-D60)</f>
      </c>
    </row>
    <row r="61">
      <c r="A61" s="5">
        <f>IFERROR(INDEX('Input Barang'!$B$2:$B$1000,50),"")</f>
      </c>
      <c r="B61" s="4">
        <f>IF(A61="","",COUNTIF('Input Barang'!$B$2:$B$1000,A61))</f>
      </c>
      <c r="C61" s="4">
        <f>IF(A61="","",COUNTIF('Output Agus'!$B$2:$B$1000,A61))</f>
      </c>
      <c r="D61" s="4">
        <f>IF(A61="","",COUNTIF('Output Rexa'!$B$2:$B$1000,A61))</f>
      </c>
      <c r="E61" s="4">
        <f>IF(A61="","",B61-C61-D61)</f>
      </c>
    </row>
    <row r="62">
      <c r="A62" s="5">
        <f>IFERROR(INDEX('Input Barang'!$B$2:$B$1000,51),"")</f>
      </c>
      <c r="B62" s="4">
        <f>IF(A62="","",COUNTIF('Input Barang'!$B$2:$B$1000,A62))</f>
      </c>
      <c r="C62" s="4">
        <f>IF(A62="","",COUNTIF('Output Agus'!$B$2:$B$1000,A62))</f>
      </c>
      <c r="D62" s="4">
        <f>IF(A62="","",COUNTIF('Output Rexa'!$B$2:$B$1000,A62))</f>
      </c>
      <c r="E62" s="4">
        <f>IF(A62="","",B62-C62-D62)</f>
      </c>
    </row>
    <row r="63">
      <c r="A63" s="5">
        <f>IFERROR(INDEX('Input Barang'!$B$2:$B$1000,52),"")</f>
      </c>
      <c r="B63" s="4">
        <f>IF(A63="","",COUNTIF('Input Barang'!$B$2:$B$1000,A63))</f>
      </c>
      <c r="C63" s="4">
        <f>IF(A63="","",COUNTIF('Output Agus'!$B$2:$B$1000,A63))</f>
      </c>
      <c r="D63" s="4">
        <f>IF(A63="","",COUNTIF('Output Rexa'!$B$2:$B$1000,A63))</f>
      </c>
      <c r="E63" s="4">
        <f>IF(A63="","",B63-C63-D63)</f>
      </c>
    </row>
    <row r="64">
      <c r="A64" s="5">
        <f>IFERROR(INDEX('Input Barang'!$B$2:$B$1000,53),"")</f>
      </c>
      <c r="B64" s="4">
        <f>IF(A64="","",COUNTIF('Input Barang'!$B$2:$B$1000,A64))</f>
      </c>
      <c r="C64" s="4">
        <f>IF(A64="","",COUNTIF('Output Agus'!$B$2:$B$1000,A64))</f>
      </c>
      <c r="D64" s="4">
        <f>IF(A64="","",COUNTIF('Output Rexa'!$B$2:$B$1000,A64))</f>
      </c>
      <c r="E64" s="4">
        <f>IF(A64="","",B64-C64-D64)</f>
      </c>
    </row>
    <row r="65">
      <c r="A65" s="5">
        <f>IFERROR(INDEX('Input Barang'!$B$2:$B$1000,54),"")</f>
      </c>
      <c r="B65" s="4">
        <f>IF(A65="","",COUNTIF('Input Barang'!$B$2:$B$1000,A65))</f>
      </c>
      <c r="C65" s="4">
        <f>IF(A65="","",COUNTIF('Output Agus'!$B$2:$B$1000,A65))</f>
      </c>
      <c r="D65" s="4">
        <f>IF(A65="","",COUNTIF('Output Rexa'!$B$2:$B$1000,A65))</f>
      </c>
      <c r="E65" s="4">
        <f>IF(A65="","",B65-C65-D65)</f>
      </c>
    </row>
    <row r="66">
      <c r="A66" s="5">
        <f>IFERROR(INDEX('Input Barang'!$B$2:$B$1000,55),"")</f>
      </c>
      <c r="B66" s="4">
        <f>IF(A66="","",COUNTIF('Input Barang'!$B$2:$B$1000,A66))</f>
      </c>
      <c r="C66" s="4">
        <f>IF(A66="","",COUNTIF('Output Agus'!$B$2:$B$1000,A66))</f>
      </c>
      <c r="D66" s="4">
        <f>IF(A66="","",COUNTIF('Output Rexa'!$B$2:$B$1000,A66))</f>
      </c>
      <c r="E66" s="4">
        <f>IF(A66="","",B66-C66-D66)</f>
      </c>
    </row>
    <row r="67">
      <c r="A67" s="5">
        <f>IFERROR(INDEX('Input Barang'!$B$2:$B$1000,56),"")</f>
      </c>
      <c r="B67" s="4">
        <f>IF(A67="","",COUNTIF('Input Barang'!$B$2:$B$1000,A67))</f>
      </c>
      <c r="C67" s="4">
        <f>IF(A67="","",COUNTIF('Output Agus'!$B$2:$B$1000,A67))</f>
      </c>
      <c r="D67" s="4">
        <f>IF(A67="","",COUNTIF('Output Rexa'!$B$2:$B$1000,A67))</f>
      </c>
      <c r="E67" s="4">
        <f>IF(A67="","",B67-C67-D67)</f>
      </c>
    </row>
    <row r="68">
      <c r="A68" s="5">
        <f>IFERROR(INDEX('Input Barang'!$B$2:$B$1000,57),"")</f>
      </c>
      <c r="B68" s="4">
        <f>IF(A68="","",COUNTIF('Input Barang'!$B$2:$B$1000,A68))</f>
      </c>
      <c r="C68" s="4">
        <f>IF(A68="","",COUNTIF('Output Agus'!$B$2:$B$1000,A68))</f>
      </c>
      <c r="D68" s="4">
        <f>IF(A68="","",COUNTIF('Output Rexa'!$B$2:$B$1000,A68))</f>
      </c>
      <c r="E68" s="4">
        <f>IF(A68="","",B68-C68-D68)</f>
      </c>
    </row>
    <row r="69">
      <c r="A69" s="5">
        <f>IFERROR(INDEX('Input Barang'!$B$2:$B$1000,58),"")</f>
      </c>
      <c r="B69" s="4">
        <f>IF(A69="","",COUNTIF('Input Barang'!$B$2:$B$1000,A69))</f>
      </c>
      <c r="C69" s="4">
        <f>IF(A69="","",COUNTIF('Output Agus'!$B$2:$B$1000,A69))</f>
      </c>
      <c r="D69" s="4">
        <f>IF(A69="","",COUNTIF('Output Rexa'!$B$2:$B$1000,A69))</f>
      </c>
      <c r="E69" s="4">
        <f>IF(A69="","",B69-C69-D69)</f>
      </c>
    </row>
    <row r="70">
      <c r="A70" s="5">
        <f>IFERROR(INDEX('Input Barang'!$B$2:$B$1000,59),"")</f>
      </c>
      <c r="B70" s="4">
        <f>IF(A70="","",COUNTIF('Input Barang'!$B$2:$B$1000,A70))</f>
      </c>
      <c r="C70" s="4">
        <f>IF(A70="","",COUNTIF('Output Agus'!$B$2:$B$1000,A70))</f>
      </c>
      <c r="D70" s="4">
        <f>IF(A70="","",COUNTIF('Output Rexa'!$B$2:$B$1000,A70))</f>
      </c>
      <c r="E70" s="4">
        <f>IF(A70="","",B70-C70-D70)</f>
      </c>
    </row>
    <row r="71">
      <c r="A71" s="5">
        <f>IFERROR(INDEX('Input Barang'!$B$2:$B$1000,60),"")</f>
      </c>
      <c r="B71" s="4">
        <f>IF(A71="","",COUNTIF('Input Barang'!$B$2:$B$1000,A71))</f>
      </c>
      <c r="C71" s="4">
        <f>IF(A71="","",COUNTIF('Output Agus'!$B$2:$B$1000,A71))</f>
      </c>
      <c r="D71" s="4">
        <f>IF(A71="","",COUNTIF('Output Rexa'!$B$2:$B$1000,A71))</f>
      </c>
      <c r="E71" s="4">
        <f>IF(A71="","",B71-C71-D71)</f>
      </c>
    </row>
    <row r="72">
      <c r="A72" s="5">
        <f>IFERROR(INDEX('Input Barang'!$B$2:$B$1000,61),"")</f>
      </c>
      <c r="B72" s="4">
        <f>IF(A72="","",COUNTIF('Input Barang'!$B$2:$B$1000,A72))</f>
      </c>
      <c r="C72" s="4">
        <f>IF(A72="","",COUNTIF('Output Agus'!$B$2:$B$1000,A72))</f>
      </c>
      <c r="D72" s="4">
        <f>IF(A72="","",COUNTIF('Output Rexa'!$B$2:$B$1000,A72))</f>
      </c>
      <c r="E72" s="4">
        <f>IF(A72="","",B72-C72-D72)</f>
      </c>
    </row>
    <row r="73">
      <c r="A73" s="5">
        <f>IFERROR(INDEX('Input Barang'!$B$2:$B$1000,62),"")</f>
      </c>
      <c r="B73" s="4">
        <f>IF(A73="","",COUNTIF('Input Barang'!$B$2:$B$1000,A73))</f>
      </c>
      <c r="C73" s="4">
        <f>IF(A73="","",COUNTIF('Output Agus'!$B$2:$B$1000,A73))</f>
      </c>
      <c r="D73" s="4">
        <f>IF(A73="","",COUNTIF('Output Rexa'!$B$2:$B$1000,A73))</f>
      </c>
      <c r="E73" s="4">
        <f>IF(A73="","",B73-C73-D73)</f>
      </c>
    </row>
    <row r="74">
      <c r="A74" s="5">
        <f>IFERROR(INDEX('Input Barang'!$B$2:$B$1000,63),"")</f>
      </c>
      <c r="B74" s="4">
        <f>IF(A74="","",COUNTIF('Input Barang'!$B$2:$B$1000,A74))</f>
      </c>
      <c r="C74" s="4">
        <f>IF(A74="","",COUNTIF('Output Agus'!$B$2:$B$1000,A74))</f>
      </c>
      <c r="D74" s="4">
        <f>IF(A74="","",COUNTIF('Output Rexa'!$B$2:$B$1000,A74))</f>
      </c>
      <c r="E74" s="4">
        <f>IF(A74="","",B74-C74-D74)</f>
      </c>
    </row>
    <row r="75">
      <c r="A75" s="5">
        <f>IFERROR(INDEX('Input Barang'!$B$2:$B$1000,64),"")</f>
      </c>
      <c r="B75" s="4">
        <f>IF(A75="","",COUNTIF('Input Barang'!$B$2:$B$1000,A75))</f>
      </c>
      <c r="C75" s="4">
        <f>IF(A75="","",COUNTIF('Output Agus'!$B$2:$B$1000,A75))</f>
      </c>
      <c r="D75" s="4">
        <f>IF(A75="","",COUNTIF('Output Rexa'!$B$2:$B$1000,A75))</f>
      </c>
      <c r="E75" s="4">
        <f>IF(A75="","",B75-C75-D75)</f>
      </c>
    </row>
    <row r="76">
      <c r="A76" s="5">
        <f>IFERROR(INDEX('Input Barang'!$B$2:$B$1000,65),"")</f>
      </c>
      <c r="B76" s="4">
        <f>IF(A76="","",COUNTIF('Input Barang'!$B$2:$B$1000,A76))</f>
      </c>
      <c r="C76" s="4">
        <f>IF(A76="","",COUNTIF('Output Agus'!$B$2:$B$1000,A76))</f>
      </c>
      <c r="D76" s="4">
        <f>IF(A76="","",COUNTIF('Output Rexa'!$B$2:$B$1000,A76))</f>
      </c>
      <c r="E76" s="4">
        <f>IF(A76="","",B76-C76-D76)</f>
      </c>
    </row>
    <row r="77">
      <c r="A77" s="5">
        <f>IFERROR(INDEX('Input Barang'!$B$2:$B$1000,66),"")</f>
      </c>
      <c r="B77" s="4">
        <f>IF(A77="","",COUNTIF('Input Barang'!$B$2:$B$1000,A77))</f>
      </c>
      <c r="C77" s="4">
        <f>IF(A77="","",COUNTIF('Output Agus'!$B$2:$B$1000,A77))</f>
      </c>
      <c r="D77" s="4">
        <f>IF(A77="","",COUNTIF('Output Rexa'!$B$2:$B$1000,A77))</f>
      </c>
      <c r="E77" s="4">
        <f>IF(A77="","",B77-C77-D77)</f>
      </c>
    </row>
    <row r="78">
      <c r="A78" s="5">
        <f>IFERROR(INDEX('Input Barang'!$B$2:$B$1000,67),"")</f>
      </c>
      <c r="B78" s="4">
        <f>IF(A78="","",COUNTIF('Input Barang'!$B$2:$B$1000,A78))</f>
      </c>
      <c r="C78" s="4">
        <f>IF(A78="","",COUNTIF('Output Agus'!$B$2:$B$1000,A78))</f>
      </c>
      <c r="D78" s="4">
        <f>IF(A78="","",COUNTIF('Output Rexa'!$B$2:$B$1000,A78))</f>
      </c>
      <c r="E78" s="4">
        <f>IF(A78="","",B78-C78-D78)</f>
      </c>
    </row>
    <row r="79">
      <c r="A79" s="5">
        <f>IFERROR(INDEX('Input Barang'!$B$2:$B$1000,68),"")</f>
      </c>
      <c r="B79" s="4">
        <f>IF(A79="","",COUNTIF('Input Barang'!$B$2:$B$1000,A79))</f>
      </c>
      <c r="C79" s="4">
        <f>IF(A79="","",COUNTIF('Output Agus'!$B$2:$B$1000,A79))</f>
      </c>
      <c r="D79" s="4">
        <f>IF(A79="","",COUNTIF('Output Rexa'!$B$2:$B$1000,A79))</f>
      </c>
      <c r="E79" s="4">
        <f>IF(A79="","",B79-C79-D79)</f>
      </c>
    </row>
    <row r="80">
      <c r="A80" s="5">
        <f>IFERROR(INDEX('Input Barang'!$B$2:$B$1000,69),"")</f>
      </c>
      <c r="B80" s="4">
        <f>IF(A80="","",COUNTIF('Input Barang'!$B$2:$B$1000,A80))</f>
      </c>
      <c r="C80" s="4">
        <f>IF(A80="","",COUNTIF('Output Agus'!$B$2:$B$1000,A80))</f>
      </c>
      <c r="D80" s="4">
        <f>IF(A80="","",COUNTIF('Output Rexa'!$B$2:$B$1000,A80))</f>
      </c>
      <c r="E80" s="4">
        <f>IF(A80="","",B80-C80-D80)</f>
      </c>
    </row>
    <row r="81">
      <c r="A81" s="5">
        <f>IFERROR(INDEX('Input Barang'!$B$2:$B$1000,70),"")</f>
      </c>
      <c r="B81" s="4">
        <f>IF(A81="","",COUNTIF('Input Barang'!$B$2:$B$1000,A81))</f>
      </c>
      <c r="C81" s="4">
        <f>IF(A81="","",COUNTIF('Output Agus'!$B$2:$B$1000,A81))</f>
      </c>
      <c r="D81" s="4">
        <f>IF(A81="","",COUNTIF('Output Rexa'!$B$2:$B$1000,A81))</f>
      </c>
      <c r="E81" s="4">
        <f>IF(A81="","",B81-C81-D81)</f>
      </c>
    </row>
    <row r="82">
      <c r="A82" s="5">
        <f>IFERROR(INDEX('Input Barang'!$B$2:$B$1000,71),"")</f>
      </c>
      <c r="B82" s="4">
        <f>IF(A82="","",COUNTIF('Input Barang'!$B$2:$B$1000,A82))</f>
      </c>
      <c r="C82" s="4">
        <f>IF(A82="","",COUNTIF('Output Agus'!$B$2:$B$1000,A82))</f>
      </c>
      <c r="D82" s="4">
        <f>IF(A82="","",COUNTIF('Output Rexa'!$B$2:$B$1000,A82))</f>
      </c>
      <c r="E82" s="4">
        <f>IF(A82="","",B82-C82-D82)</f>
      </c>
    </row>
    <row r="83">
      <c r="A83" s="5">
        <f>IFERROR(INDEX('Input Barang'!$B$2:$B$1000,72),"")</f>
      </c>
      <c r="B83" s="4">
        <f>IF(A83="","",COUNTIF('Input Barang'!$B$2:$B$1000,A83))</f>
      </c>
      <c r="C83" s="4">
        <f>IF(A83="","",COUNTIF('Output Agus'!$B$2:$B$1000,A83))</f>
      </c>
      <c r="D83" s="4">
        <f>IF(A83="","",COUNTIF('Output Rexa'!$B$2:$B$1000,A83))</f>
      </c>
      <c r="E83" s="4">
        <f>IF(A83="","",B83-C83-D83)</f>
      </c>
    </row>
    <row r="84">
      <c r="A84" s="5">
        <f>IFERROR(INDEX('Input Barang'!$B$2:$B$1000,73),"")</f>
      </c>
      <c r="B84" s="4">
        <f>IF(A84="","",COUNTIF('Input Barang'!$B$2:$B$1000,A84))</f>
      </c>
      <c r="C84" s="4">
        <f>IF(A84="","",COUNTIF('Output Agus'!$B$2:$B$1000,A84))</f>
      </c>
      <c r="D84" s="4">
        <f>IF(A84="","",COUNTIF('Output Rexa'!$B$2:$B$1000,A84))</f>
      </c>
      <c r="E84" s="4">
        <f>IF(A84="","",B84-C84-D84)</f>
      </c>
    </row>
    <row r="85">
      <c r="A85" s="5">
        <f>IFERROR(INDEX('Input Barang'!$B$2:$B$1000,74),"")</f>
      </c>
      <c r="B85" s="4">
        <f>IF(A85="","",COUNTIF('Input Barang'!$B$2:$B$1000,A85))</f>
      </c>
      <c r="C85" s="4">
        <f>IF(A85="","",COUNTIF('Output Agus'!$B$2:$B$1000,A85))</f>
      </c>
      <c r="D85" s="4">
        <f>IF(A85="","",COUNTIF('Output Rexa'!$B$2:$B$1000,A85))</f>
      </c>
      <c r="E85" s="4">
        <f>IF(A85="","",B85-C85-D85)</f>
      </c>
    </row>
    <row r="86">
      <c r="A86" s="5">
        <f>IFERROR(INDEX('Input Barang'!$B$2:$B$1000,75),"")</f>
      </c>
      <c r="B86" s="4">
        <f>IF(A86="","",COUNTIF('Input Barang'!$B$2:$B$1000,A86))</f>
      </c>
      <c r="C86" s="4">
        <f>IF(A86="","",COUNTIF('Output Agus'!$B$2:$B$1000,A86))</f>
      </c>
      <c r="D86" s="4">
        <f>IF(A86="","",COUNTIF('Output Rexa'!$B$2:$B$1000,A86))</f>
      </c>
      <c r="E86" s="4">
        <f>IF(A86="","",B86-C86-D86)</f>
      </c>
    </row>
    <row r="87">
      <c r="A87" s="5">
        <f>IFERROR(INDEX('Input Barang'!$B$2:$B$1000,76),"")</f>
      </c>
      <c r="B87" s="4">
        <f>IF(A87="","",COUNTIF('Input Barang'!$B$2:$B$1000,A87))</f>
      </c>
      <c r="C87" s="4">
        <f>IF(A87="","",COUNTIF('Output Agus'!$B$2:$B$1000,A87))</f>
      </c>
      <c r="D87" s="4">
        <f>IF(A87="","",COUNTIF('Output Rexa'!$B$2:$B$1000,A87))</f>
      </c>
      <c r="E87" s="4">
        <f>IF(A87="","",B87-C87-D87)</f>
      </c>
    </row>
    <row r="88">
      <c r="A88" s="5">
        <f>IFERROR(INDEX('Input Barang'!$B$2:$B$1000,77),"")</f>
      </c>
      <c r="B88" s="4">
        <f>IF(A88="","",COUNTIF('Input Barang'!$B$2:$B$1000,A88))</f>
      </c>
      <c r="C88" s="4">
        <f>IF(A88="","",COUNTIF('Output Agus'!$B$2:$B$1000,A88))</f>
      </c>
      <c r="D88" s="4">
        <f>IF(A88="","",COUNTIF('Output Rexa'!$B$2:$B$1000,A88))</f>
      </c>
      <c r="E88" s="4">
        <f>IF(A88="","",B88-C88-D88)</f>
      </c>
    </row>
    <row r="89">
      <c r="A89" s="5">
        <f>IFERROR(INDEX('Input Barang'!$B$2:$B$1000,78),"")</f>
      </c>
      <c r="B89" s="4">
        <f>IF(A89="","",COUNTIF('Input Barang'!$B$2:$B$1000,A89))</f>
      </c>
      <c r="C89" s="4">
        <f>IF(A89="","",COUNTIF('Output Agus'!$B$2:$B$1000,A89))</f>
      </c>
      <c r="D89" s="4">
        <f>IF(A89="","",COUNTIF('Output Rexa'!$B$2:$B$1000,A89))</f>
      </c>
      <c r="E89" s="4">
        <f>IF(A89="","",B89-C89-D89)</f>
      </c>
    </row>
    <row r="90">
      <c r="A90" s="5">
        <f>IFERROR(INDEX('Input Barang'!$B$2:$B$1000,79),"")</f>
      </c>
      <c r="B90" s="4">
        <f>IF(A90="","",COUNTIF('Input Barang'!$B$2:$B$1000,A90))</f>
      </c>
      <c r="C90" s="4">
        <f>IF(A90="","",COUNTIF('Output Agus'!$B$2:$B$1000,A90))</f>
      </c>
      <c r="D90" s="4">
        <f>IF(A90="","",COUNTIF('Output Rexa'!$B$2:$B$1000,A90))</f>
      </c>
      <c r="E90" s="4">
        <f>IF(A90="","",B90-C90-D90)</f>
      </c>
    </row>
    <row r="91">
      <c r="A91" s="5">
        <f>IFERROR(INDEX('Input Barang'!$B$2:$B$1000,80),"")</f>
      </c>
      <c r="B91" s="4">
        <f>IF(A91="","",COUNTIF('Input Barang'!$B$2:$B$1000,A91))</f>
      </c>
      <c r="C91" s="4">
        <f>IF(A91="","",COUNTIF('Output Agus'!$B$2:$B$1000,A91))</f>
      </c>
      <c r="D91" s="4">
        <f>IF(A91="","",COUNTIF('Output Rexa'!$B$2:$B$1000,A91))</f>
      </c>
      <c r="E91" s="4">
        <f>IF(A91="","",B91-C91-D91)</f>
      </c>
    </row>
    <row r="92">
      <c r="A92" s="5">
        <f>IFERROR(INDEX('Input Barang'!$B$2:$B$1000,81),"")</f>
      </c>
      <c r="B92" s="4">
        <f>IF(A92="","",COUNTIF('Input Barang'!$B$2:$B$1000,A92))</f>
      </c>
      <c r="C92" s="4">
        <f>IF(A92="","",COUNTIF('Output Agus'!$B$2:$B$1000,A92))</f>
      </c>
      <c r="D92" s="4">
        <f>IF(A92="","",COUNTIF('Output Rexa'!$B$2:$B$1000,A92))</f>
      </c>
      <c r="E92" s="4">
        <f>IF(A92="","",B92-C92-D92)</f>
      </c>
    </row>
    <row r="93">
      <c r="A93" s="5">
        <f>IFERROR(INDEX('Input Barang'!$B$2:$B$1000,82),"")</f>
      </c>
      <c r="B93" s="4">
        <f>IF(A93="","",COUNTIF('Input Barang'!$B$2:$B$1000,A93))</f>
      </c>
      <c r="C93" s="4">
        <f>IF(A93="","",COUNTIF('Output Agus'!$B$2:$B$1000,A93))</f>
      </c>
      <c r="D93" s="4">
        <f>IF(A93="","",COUNTIF('Output Rexa'!$B$2:$B$1000,A93))</f>
      </c>
      <c r="E93" s="4">
        <f>IF(A93="","",B93-C93-D93)</f>
      </c>
    </row>
    <row r="94">
      <c r="A94" s="5">
        <f>IFERROR(INDEX('Input Barang'!$B$2:$B$1000,83),"")</f>
      </c>
      <c r="B94" s="4">
        <f>IF(A94="","",COUNTIF('Input Barang'!$B$2:$B$1000,A94))</f>
      </c>
      <c r="C94" s="4">
        <f>IF(A94="","",COUNTIF('Output Agus'!$B$2:$B$1000,A94))</f>
      </c>
      <c r="D94" s="4">
        <f>IF(A94="","",COUNTIF('Output Rexa'!$B$2:$B$1000,A94))</f>
      </c>
      <c r="E94" s="4">
        <f>IF(A94="","",B94-C94-D94)</f>
      </c>
    </row>
    <row r="95">
      <c r="A95" s="5">
        <f>IFERROR(INDEX('Input Barang'!$B$2:$B$1000,84),"")</f>
      </c>
      <c r="B95" s="4">
        <f>IF(A95="","",COUNTIF('Input Barang'!$B$2:$B$1000,A95))</f>
      </c>
      <c r="C95" s="4">
        <f>IF(A95="","",COUNTIF('Output Agus'!$B$2:$B$1000,A95))</f>
      </c>
      <c r="D95" s="4">
        <f>IF(A95="","",COUNTIF('Output Rexa'!$B$2:$B$1000,A95))</f>
      </c>
      <c r="E95" s="4">
        <f>IF(A95="","",B95-C95-D95)</f>
      </c>
    </row>
    <row r="96">
      <c r="A96" s="5">
        <f>IFERROR(INDEX('Input Barang'!$B$2:$B$1000,85),"")</f>
      </c>
      <c r="B96" s="4">
        <f>IF(A96="","",COUNTIF('Input Barang'!$B$2:$B$1000,A96))</f>
      </c>
      <c r="C96" s="4">
        <f>IF(A96="","",COUNTIF('Output Agus'!$B$2:$B$1000,A96))</f>
      </c>
      <c r="D96" s="4">
        <f>IF(A96="","",COUNTIF('Output Rexa'!$B$2:$B$1000,A96))</f>
      </c>
      <c r="E96" s="4">
        <f>IF(A96="","",B96-C96-D96)</f>
      </c>
    </row>
    <row r="97">
      <c r="A97" s="5">
        <f>IFERROR(INDEX('Input Barang'!$B$2:$B$1000,86),"")</f>
      </c>
      <c r="B97" s="4">
        <f>IF(A97="","",COUNTIF('Input Barang'!$B$2:$B$1000,A97))</f>
      </c>
      <c r="C97" s="4">
        <f>IF(A97="","",COUNTIF('Output Agus'!$B$2:$B$1000,A97))</f>
      </c>
      <c r="D97" s="4">
        <f>IF(A97="","",COUNTIF('Output Rexa'!$B$2:$B$1000,A97))</f>
      </c>
      <c r="E97" s="4">
        <f>IF(A97="","",B97-C97-D97)</f>
      </c>
    </row>
    <row r="98">
      <c r="A98" s="5">
        <f>IFERROR(INDEX('Input Barang'!$B$2:$B$1000,87),"")</f>
      </c>
      <c r="B98" s="4">
        <f>IF(A98="","",COUNTIF('Input Barang'!$B$2:$B$1000,A98))</f>
      </c>
      <c r="C98" s="4">
        <f>IF(A98="","",COUNTIF('Output Agus'!$B$2:$B$1000,A98))</f>
      </c>
      <c r="D98" s="4">
        <f>IF(A98="","",COUNTIF('Output Rexa'!$B$2:$B$1000,A98))</f>
      </c>
      <c r="E98" s="4">
        <f>IF(A98="","",B98-C98-D98)</f>
      </c>
    </row>
    <row r="99">
      <c r="A99" s="5">
        <f>IFERROR(INDEX('Input Barang'!$B$2:$B$1000,88),"")</f>
      </c>
      <c r="B99" s="4">
        <f>IF(A99="","",COUNTIF('Input Barang'!$B$2:$B$1000,A99))</f>
      </c>
      <c r="C99" s="4">
        <f>IF(A99="","",COUNTIF('Output Agus'!$B$2:$B$1000,A99))</f>
      </c>
      <c r="D99" s="4">
        <f>IF(A99="","",COUNTIF('Output Rexa'!$B$2:$B$1000,A99))</f>
      </c>
      <c r="E99" s="4">
        <f>IF(A99="","",B99-C99-D99)</f>
      </c>
    </row>
    <row r="100">
      <c r="A100" s="5">
        <f>IFERROR(INDEX('Input Barang'!$B$2:$B$1000,89),"")</f>
      </c>
      <c r="B100" s="4">
        <f>IF(A100="","",COUNTIF('Input Barang'!$B$2:$B$1000,A100))</f>
      </c>
      <c r="C100" s="4">
        <f>IF(A100="","",COUNTIF('Output Agus'!$B$2:$B$1000,A100))</f>
      </c>
      <c r="D100" s="4">
        <f>IF(A100="","",COUNTIF('Output Rexa'!$B$2:$B$1000,A100))</f>
      </c>
      <c r="E100" s="4">
        <f>IF(A100="","",B100-C100-D100)</f>
      </c>
    </row>
    <row r="101">
      <c r="A101" s="5">
        <f>IFERROR(INDEX('Input Barang'!$B$2:$B$1000,90),"")</f>
      </c>
      <c r="B101" s="4">
        <f>IF(A101="","",COUNTIF('Input Barang'!$B$2:$B$1000,A101))</f>
      </c>
      <c r="C101" s="4">
        <f>IF(A101="","",COUNTIF('Output Agus'!$B$2:$B$1000,A101))</f>
      </c>
      <c r="D101" s="4">
        <f>IF(A101="","",COUNTIF('Output Rexa'!$B$2:$B$1000,A101))</f>
      </c>
      <c r="E101" s="4">
        <f>IF(A101="","",B101-C101-D101)</f>
      </c>
    </row>
    <row r="102">
      <c r="A102" s="5">
        <f>IFERROR(INDEX('Input Barang'!$B$2:$B$1000,91),"")</f>
      </c>
      <c r="B102" s="4">
        <f>IF(A102="","",COUNTIF('Input Barang'!$B$2:$B$1000,A102))</f>
      </c>
      <c r="C102" s="4">
        <f>IF(A102="","",COUNTIF('Output Agus'!$B$2:$B$1000,A102))</f>
      </c>
      <c r="D102" s="4">
        <f>IF(A102="","",COUNTIF('Output Rexa'!$B$2:$B$1000,A102))</f>
      </c>
      <c r="E102" s="4">
        <f>IF(A102="","",B102-C102-D102)</f>
      </c>
    </row>
    <row r="103">
      <c r="A103" s="5">
        <f>IFERROR(INDEX('Input Barang'!$B$2:$B$1000,92),"")</f>
      </c>
      <c r="B103" s="4">
        <f>IF(A103="","",COUNTIF('Input Barang'!$B$2:$B$1000,A103))</f>
      </c>
      <c r="C103" s="4">
        <f>IF(A103="","",COUNTIF('Output Agus'!$B$2:$B$1000,A103))</f>
      </c>
      <c r="D103" s="4">
        <f>IF(A103="","",COUNTIF('Output Rexa'!$B$2:$B$1000,A103))</f>
      </c>
      <c r="E103" s="4">
        <f>IF(A103="","",B103-C103-D103)</f>
      </c>
    </row>
    <row r="104">
      <c r="A104" s="5">
        <f>IFERROR(INDEX('Input Barang'!$B$2:$B$1000,93),"")</f>
      </c>
      <c r="B104" s="4">
        <f>IF(A104="","",COUNTIF('Input Barang'!$B$2:$B$1000,A104))</f>
      </c>
      <c r="C104" s="4">
        <f>IF(A104="","",COUNTIF('Output Agus'!$B$2:$B$1000,A104))</f>
      </c>
      <c r="D104" s="4">
        <f>IF(A104="","",COUNTIF('Output Rexa'!$B$2:$B$1000,A104))</f>
      </c>
      <c r="E104" s="4">
        <f>IF(A104="","",B104-C104-D104)</f>
      </c>
    </row>
    <row r="105">
      <c r="A105" s="5">
        <f>IFERROR(INDEX('Input Barang'!$B$2:$B$1000,94),"")</f>
      </c>
      <c r="B105" s="4">
        <f>IF(A105="","",COUNTIF('Input Barang'!$B$2:$B$1000,A105))</f>
      </c>
      <c r="C105" s="4">
        <f>IF(A105="","",COUNTIF('Output Agus'!$B$2:$B$1000,A105))</f>
      </c>
      <c r="D105" s="4">
        <f>IF(A105="","",COUNTIF('Output Rexa'!$B$2:$B$1000,A105))</f>
      </c>
      <c r="E105" s="4">
        <f>IF(A105="","",B105-C105-D105)</f>
      </c>
    </row>
    <row r="106">
      <c r="A106" s="5">
        <f>IFERROR(INDEX('Input Barang'!$B$2:$B$1000,95),"")</f>
      </c>
      <c r="B106" s="4">
        <f>IF(A106="","",COUNTIF('Input Barang'!$B$2:$B$1000,A106))</f>
      </c>
      <c r="C106" s="4">
        <f>IF(A106="","",COUNTIF('Output Agus'!$B$2:$B$1000,A106))</f>
      </c>
      <c r="D106" s="4">
        <f>IF(A106="","",COUNTIF('Output Rexa'!$B$2:$B$1000,A106))</f>
      </c>
      <c r="E106" s="4">
        <f>IF(A106="","",B106-C106-D106)</f>
      </c>
    </row>
    <row r="107">
      <c r="A107" s="5">
        <f>IFERROR(INDEX('Input Barang'!$B$2:$B$1000,96),"")</f>
      </c>
      <c r="B107" s="4">
        <f>IF(A107="","",COUNTIF('Input Barang'!$B$2:$B$1000,A107))</f>
      </c>
      <c r="C107" s="4">
        <f>IF(A107="","",COUNTIF('Output Agus'!$B$2:$B$1000,A107))</f>
      </c>
      <c r="D107" s="4">
        <f>IF(A107="","",COUNTIF('Output Rexa'!$B$2:$B$1000,A107))</f>
      </c>
      <c r="E107" s="4">
        <f>IF(A107="","",B107-C107-D107)</f>
      </c>
    </row>
    <row r="108">
      <c r="A108" s="5">
        <f>IFERROR(INDEX('Input Barang'!$B$2:$B$1000,97),"")</f>
      </c>
      <c r="B108" s="4">
        <f>IF(A108="","",COUNTIF('Input Barang'!$B$2:$B$1000,A108))</f>
      </c>
      <c r="C108" s="4">
        <f>IF(A108="","",COUNTIF('Output Agus'!$B$2:$B$1000,A108))</f>
      </c>
      <c r="D108" s="4">
        <f>IF(A108="","",COUNTIF('Output Rexa'!$B$2:$B$1000,A108))</f>
      </c>
      <c r="E108" s="4">
        <f>IF(A108="","",B108-C108-D108)</f>
      </c>
    </row>
    <row r="109">
      <c r="A109" s="5">
        <f>IFERROR(INDEX('Input Barang'!$B$2:$B$1000,98),"")</f>
      </c>
      <c r="B109" s="4">
        <f>IF(A109="","",COUNTIF('Input Barang'!$B$2:$B$1000,A109))</f>
      </c>
      <c r="C109" s="4">
        <f>IF(A109="","",COUNTIF('Output Agus'!$B$2:$B$1000,A109))</f>
      </c>
      <c r="D109" s="4">
        <f>IF(A109="","",COUNTIF('Output Rexa'!$B$2:$B$1000,A109))</f>
      </c>
      <c r="E109" s="4">
        <f>IF(A109="","",B109-C109-D109)</f>
      </c>
    </row>
    <row r="110">
      <c r="A110" s="5">
        <f>IFERROR(INDEX('Input Barang'!$B$2:$B$1000,99),"")</f>
      </c>
      <c r="B110" s="4">
        <f>IF(A110="","",COUNTIF('Input Barang'!$B$2:$B$1000,A110))</f>
      </c>
      <c r="C110" s="4">
        <f>IF(A110="","",COUNTIF('Output Agus'!$B$2:$B$1000,A110))</f>
      </c>
      <c r="D110" s="4">
        <f>IF(A110="","",COUNTIF('Output Rexa'!$B$2:$B$1000,A110))</f>
      </c>
      <c r="E110" s="4">
        <f>IF(A110="","",B110-C110-D110)</f>
      </c>
    </row>
    <row r="111">
      <c r="A111" s="5">
        <f>IFERROR(INDEX('Input Barang'!$B$2:$B$1000,100),"")</f>
      </c>
      <c r="B111" s="4">
        <f>IF(A111="","",COUNTIF('Input Barang'!$B$2:$B$1000,A111))</f>
      </c>
      <c r="C111" s="4">
        <f>IF(A111="","",COUNTIF('Output Agus'!$B$2:$B$1000,A111))</f>
      </c>
      <c r="D111" s="4">
        <f>IF(A111="","",COUNTIF('Output Rexa'!$B$2:$B$1000,A111))</f>
      </c>
      <c r="E111" s="4">
        <f>IF(A111="","",B111-C111-D111)</f>
      </c>
    </row>
    <row r="112">
      <c r="A112" s="5">
        <f>IFERROR(INDEX('Input Barang'!$B$2:$B$1000,101),"")</f>
      </c>
      <c r="B112" s="4">
        <f>IF(A112="","",COUNTIF('Input Barang'!$B$2:$B$1000,A112))</f>
      </c>
      <c r="C112" s="4">
        <f>IF(A112="","",COUNTIF('Output Agus'!$B$2:$B$1000,A112))</f>
      </c>
      <c r="D112" s="4">
        <f>IF(A112="","",COUNTIF('Output Rexa'!$B$2:$B$1000,A112))</f>
      </c>
      <c r="E112" s="4">
        <f>IF(A112="","",B112-C112-D112)</f>
      </c>
    </row>
    <row r="113">
      <c r="A113" s="5">
        <f>IFERROR(INDEX('Input Barang'!$B$2:$B$1000,102),"")</f>
      </c>
      <c r="B113" s="4">
        <f>IF(A113="","",COUNTIF('Input Barang'!$B$2:$B$1000,A113))</f>
      </c>
      <c r="C113" s="4">
        <f>IF(A113="","",COUNTIF('Output Agus'!$B$2:$B$1000,A113))</f>
      </c>
      <c r="D113" s="4">
        <f>IF(A113="","",COUNTIF('Output Rexa'!$B$2:$B$1000,A113))</f>
      </c>
      <c r="E113" s="4">
        <f>IF(A113="","",B113-C113-D113)</f>
      </c>
    </row>
    <row r="114">
      <c r="A114" s="5">
        <f>IFERROR(INDEX('Input Barang'!$B$2:$B$1000,103),"")</f>
      </c>
      <c r="B114" s="4">
        <f>IF(A114="","",COUNTIF('Input Barang'!$B$2:$B$1000,A114))</f>
      </c>
      <c r="C114" s="4">
        <f>IF(A114="","",COUNTIF('Output Agus'!$B$2:$B$1000,A114))</f>
      </c>
      <c r="D114" s="4">
        <f>IF(A114="","",COUNTIF('Output Rexa'!$B$2:$B$1000,A114))</f>
      </c>
      <c r="E114" s="4">
        <f>IF(A114="","",B114-C114-D114)</f>
      </c>
    </row>
    <row r="115">
      <c r="A115" s="5">
        <f>IFERROR(INDEX('Input Barang'!$B$2:$B$1000,104),"")</f>
      </c>
      <c r="B115" s="4">
        <f>IF(A115="","",COUNTIF('Input Barang'!$B$2:$B$1000,A115))</f>
      </c>
      <c r="C115" s="4">
        <f>IF(A115="","",COUNTIF('Output Agus'!$B$2:$B$1000,A115))</f>
      </c>
      <c r="D115" s="4">
        <f>IF(A115="","",COUNTIF('Output Rexa'!$B$2:$B$1000,A115))</f>
      </c>
      <c r="E115" s="4">
        <f>IF(A115="","",B115-C115-D115)</f>
      </c>
    </row>
    <row r="116">
      <c r="A116" s="5">
        <f>IFERROR(INDEX('Input Barang'!$B$2:$B$1000,105),"")</f>
      </c>
      <c r="B116" s="4">
        <f>IF(A116="","",COUNTIF('Input Barang'!$B$2:$B$1000,A116))</f>
      </c>
      <c r="C116" s="4">
        <f>IF(A116="","",COUNTIF('Output Agus'!$B$2:$B$1000,A116))</f>
      </c>
      <c r="D116" s="4">
        <f>IF(A116="","",COUNTIF('Output Rexa'!$B$2:$B$1000,A116))</f>
      </c>
      <c r="E116" s="4">
        <f>IF(A116="","",B116-C116-D116)</f>
      </c>
    </row>
    <row r="117">
      <c r="A117" s="5">
        <f>IFERROR(INDEX('Input Barang'!$B$2:$B$1000,106),"")</f>
      </c>
      <c r="B117" s="4">
        <f>IF(A117="","",COUNTIF('Input Barang'!$B$2:$B$1000,A117))</f>
      </c>
      <c r="C117" s="4">
        <f>IF(A117="","",COUNTIF('Output Agus'!$B$2:$B$1000,A117))</f>
      </c>
      <c r="D117" s="4">
        <f>IF(A117="","",COUNTIF('Output Rexa'!$B$2:$B$1000,A117))</f>
      </c>
      <c r="E117" s="4">
        <f>IF(A117="","",B117-C117-D117)</f>
      </c>
    </row>
    <row r="118">
      <c r="A118" s="5">
        <f>IFERROR(INDEX('Input Barang'!$B$2:$B$1000,107),"")</f>
      </c>
      <c r="B118" s="4">
        <f>IF(A118="","",COUNTIF('Input Barang'!$B$2:$B$1000,A118))</f>
      </c>
      <c r="C118" s="4">
        <f>IF(A118="","",COUNTIF('Output Agus'!$B$2:$B$1000,A118))</f>
      </c>
      <c r="D118" s="4">
        <f>IF(A118="","",COUNTIF('Output Rexa'!$B$2:$B$1000,A118))</f>
      </c>
      <c r="E118" s="4">
        <f>IF(A118="","",B118-C118-D118)</f>
      </c>
    </row>
    <row r="119">
      <c r="A119" s="5">
        <f>IFERROR(INDEX('Input Barang'!$B$2:$B$1000,108),"")</f>
      </c>
      <c r="B119" s="4">
        <f>IF(A119="","",COUNTIF('Input Barang'!$B$2:$B$1000,A119))</f>
      </c>
      <c r="C119" s="4">
        <f>IF(A119="","",COUNTIF('Output Agus'!$B$2:$B$1000,A119))</f>
      </c>
      <c r="D119" s="4">
        <f>IF(A119="","",COUNTIF('Output Rexa'!$B$2:$B$1000,A119))</f>
      </c>
      <c r="E119" s="4">
        <f>IF(A119="","",B119-C119-D119)</f>
      </c>
    </row>
    <row r="120">
      <c r="A120" s="5">
        <f>IFERROR(INDEX('Input Barang'!$B$2:$B$1000,109),"")</f>
      </c>
      <c r="B120" s="4">
        <f>IF(A120="","",COUNTIF('Input Barang'!$B$2:$B$1000,A120))</f>
      </c>
      <c r="C120" s="4">
        <f>IF(A120="","",COUNTIF('Output Agus'!$B$2:$B$1000,A120))</f>
      </c>
      <c r="D120" s="4">
        <f>IF(A120="","",COUNTIF('Output Rexa'!$B$2:$B$1000,A120))</f>
      </c>
      <c r="E120" s="4">
        <f>IF(A120="","",B120-C120-D120)</f>
      </c>
    </row>
    <row r="121">
      <c r="A121" s="5">
        <f>IFERROR(INDEX('Input Barang'!$B$2:$B$1000,110),"")</f>
      </c>
      <c r="B121" s="4">
        <f>IF(A121="","",COUNTIF('Input Barang'!$B$2:$B$1000,A121))</f>
      </c>
      <c r="C121" s="4">
        <f>IF(A121="","",COUNTIF('Output Agus'!$B$2:$B$1000,A121))</f>
      </c>
      <c r="D121" s="4">
        <f>IF(A121="","",COUNTIF('Output Rexa'!$B$2:$B$1000,A121))</f>
      </c>
      <c r="E121" s="4">
        <f>IF(A121="","",B121-C121-D121)</f>
      </c>
    </row>
    <row r="122">
      <c r="A122" s="5">
        <f>IFERROR(INDEX('Input Barang'!$B$2:$B$1000,111),"")</f>
      </c>
      <c r="B122" s="4">
        <f>IF(A122="","",COUNTIF('Input Barang'!$B$2:$B$1000,A122))</f>
      </c>
      <c r="C122" s="4">
        <f>IF(A122="","",COUNTIF('Output Agus'!$B$2:$B$1000,A122))</f>
      </c>
      <c r="D122" s="4">
        <f>IF(A122="","",COUNTIF('Output Rexa'!$B$2:$B$1000,A122))</f>
      </c>
      <c r="E122" s="4">
        <f>IF(A122="","",B122-C122-D122)</f>
      </c>
    </row>
    <row r="123">
      <c r="A123" s="5">
        <f>IFERROR(INDEX('Input Barang'!$B$2:$B$1000,112),"")</f>
      </c>
      <c r="B123" s="4">
        <f>IF(A123="","",COUNTIF('Input Barang'!$B$2:$B$1000,A123))</f>
      </c>
      <c r="C123" s="4">
        <f>IF(A123="","",COUNTIF('Output Agus'!$B$2:$B$1000,A123))</f>
      </c>
      <c r="D123" s="4">
        <f>IF(A123="","",COUNTIF('Output Rexa'!$B$2:$B$1000,A123))</f>
      </c>
      <c r="E123" s="4">
        <f>IF(A123="","",B123-C123-D123)</f>
      </c>
    </row>
    <row r="124">
      <c r="A124" s="5">
        <f>IFERROR(INDEX('Input Barang'!$B$2:$B$1000,113),"")</f>
      </c>
      <c r="B124" s="4">
        <f>IF(A124="","",COUNTIF('Input Barang'!$B$2:$B$1000,A124))</f>
      </c>
      <c r="C124" s="4">
        <f>IF(A124="","",COUNTIF('Output Agus'!$B$2:$B$1000,A124))</f>
      </c>
      <c r="D124" s="4">
        <f>IF(A124="","",COUNTIF('Output Rexa'!$B$2:$B$1000,A124))</f>
      </c>
      <c r="E124" s="4">
        <f>IF(A124="","",B124-C124-D124)</f>
      </c>
    </row>
    <row r="125">
      <c r="A125" s="5">
        <f>IFERROR(INDEX('Input Barang'!$B$2:$B$1000,114),"")</f>
      </c>
      <c r="B125" s="4">
        <f>IF(A125="","",COUNTIF('Input Barang'!$B$2:$B$1000,A125))</f>
      </c>
      <c r="C125" s="4">
        <f>IF(A125="","",COUNTIF('Output Agus'!$B$2:$B$1000,A125))</f>
      </c>
      <c r="D125" s="4">
        <f>IF(A125="","",COUNTIF('Output Rexa'!$B$2:$B$1000,A125))</f>
      </c>
      <c r="E125" s="4">
        <f>IF(A125="","",B125-C125-D125)</f>
      </c>
    </row>
    <row r="126">
      <c r="A126" s="5">
        <f>IFERROR(INDEX('Input Barang'!$B$2:$B$1000,115),"")</f>
      </c>
      <c r="B126" s="4">
        <f>IF(A126="","",COUNTIF('Input Barang'!$B$2:$B$1000,A126))</f>
      </c>
      <c r="C126" s="4">
        <f>IF(A126="","",COUNTIF('Output Agus'!$B$2:$B$1000,A126))</f>
      </c>
      <c r="D126" s="4">
        <f>IF(A126="","",COUNTIF('Output Rexa'!$B$2:$B$1000,A126))</f>
      </c>
      <c r="E126" s="4">
        <f>IF(A126="","",B126-C126-D126)</f>
      </c>
    </row>
    <row r="127">
      <c r="A127" s="5">
        <f>IFERROR(INDEX('Input Barang'!$B$2:$B$1000,116),"")</f>
      </c>
      <c r="B127" s="4">
        <f>IF(A127="","",COUNTIF('Input Barang'!$B$2:$B$1000,A127))</f>
      </c>
      <c r="C127" s="4">
        <f>IF(A127="","",COUNTIF('Output Agus'!$B$2:$B$1000,A127))</f>
      </c>
      <c r="D127" s="4">
        <f>IF(A127="","",COUNTIF('Output Rexa'!$B$2:$B$1000,A127))</f>
      </c>
      <c r="E127" s="4">
        <f>IF(A127="","",B127-C127-D127)</f>
      </c>
    </row>
    <row r="128">
      <c r="A128" s="5">
        <f>IFERROR(INDEX('Input Barang'!$B$2:$B$1000,117),"")</f>
      </c>
      <c r="B128" s="4">
        <f>IF(A128="","",COUNTIF('Input Barang'!$B$2:$B$1000,A128))</f>
      </c>
      <c r="C128" s="4">
        <f>IF(A128="","",COUNTIF('Output Agus'!$B$2:$B$1000,A128))</f>
      </c>
      <c r="D128" s="4">
        <f>IF(A128="","",COUNTIF('Output Rexa'!$B$2:$B$1000,A128))</f>
      </c>
      <c r="E128" s="4">
        <f>IF(A128="","",B128-C128-D128)</f>
      </c>
    </row>
    <row r="129">
      <c r="A129" s="5">
        <f>IFERROR(INDEX('Input Barang'!$B$2:$B$1000,118),"")</f>
      </c>
      <c r="B129" s="4">
        <f>IF(A129="","",COUNTIF('Input Barang'!$B$2:$B$1000,A129))</f>
      </c>
      <c r="C129" s="4">
        <f>IF(A129="","",COUNTIF('Output Agus'!$B$2:$B$1000,A129))</f>
      </c>
      <c r="D129" s="4">
        <f>IF(A129="","",COUNTIF('Output Rexa'!$B$2:$B$1000,A129))</f>
      </c>
      <c r="E129" s="4">
        <f>IF(A129="","",B129-C129-D129)</f>
      </c>
    </row>
    <row r="130">
      <c r="A130" s="5">
        <f>IFERROR(INDEX('Input Barang'!$B$2:$B$1000,119),"")</f>
      </c>
      <c r="B130" s="4">
        <f>IF(A130="","",COUNTIF('Input Barang'!$B$2:$B$1000,A130))</f>
      </c>
      <c r="C130" s="4">
        <f>IF(A130="","",COUNTIF('Output Agus'!$B$2:$B$1000,A130))</f>
      </c>
      <c r="D130" s="4">
        <f>IF(A130="","",COUNTIF('Output Rexa'!$B$2:$B$1000,A130))</f>
      </c>
      <c r="E130" s="4">
        <f>IF(A130="","",B130-C130-D130)</f>
      </c>
    </row>
    <row r="131">
      <c r="A131" s="5">
        <f>IFERROR(INDEX('Input Barang'!$B$2:$B$1000,120),"")</f>
      </c>
      <c r="B131" s="4">
        <f>IF(A131="","",COUNTIF('Input Barang'!$B$2:$B$1000,A131))</f>
      </c>
      <c r="C131" s="4">
        <f>IF(A131="","",COUNTIF('Output Agus'!$B$2:$B$1000,A131))</f>
      </c>
      <c r="D131" s="4">
        <f>IF(A131="","",COUNTIF('Output Rexa'!$B$2:$B$1000,A131))</f>
      </c>
      <c r="E131" s="4">
        <f>IF(A131="","",B131-C131-D131)</f>
      </c>
    </row>
    <row r="132">
      <c r="A132" s="5">
        <f>IFERROR(INDEX('Input Barang'!$B$2:$B$1000,121),"")</f>
      </c>
      <c r="B132" s="4">
        <f>IF(A132="","",COUNTIF('Input Barang'!$B$2:$B$1000,A132))</f>
      </c>
      <c r="C132" s="4">
        <f>IF(A132="","",COUNTIF('Output Agus'!$B$2:$B$1000,A132))</f>
      </c>
      <c r="D132" s="4">
        <f>IF(A132="","",COUNTIF('Output Rexa'!$B$2:$B$1000,A132))</f>
      </c>
      <c r="E132" s="4">
        <f>IF(A132="","",B132-C132-D132)</f>
      </c>
    </row>
    <row r="133">
      <c r="A133" s="5">
        <f>IFERROR(INDEX('Input Barang'!$B$2:$B$1000,122),"")</f>
      </c>
      <c r="B133" s="4">
        <f>IF(A133="","",COUNTIF('Input Barang'!$B$2:$B$1000,A133))</f>
      </c>
      <c r="C133" s="4">
        <f>IF(A133="","",COUNTIF('Output Agus'!$B$2:$B$1000,A133))</f>
      </c>
      <c r="D133" s="4">
        <f>IF(A133="","",COUNTIF('Output Rexa'!$B$2:$B$1000,A133))</f>
      </c>
      <c r="E133" s="4">
        <f>IF(A133="","",B133-C133-D133)</f>
      </c>
    </row>
    <row r="134">
      <c r="A134" s="5">
        <f>IFERROR(INDEX('Input Barang'!$B$2:$B$1000,123),"")</f>
      </c>
      <c r="B134" s="4">
        <f>IF(A134="","",COUNTIF('Input Barang'!$B$2:$B$1000,A134))</f>
      </c>
      <c r="C134" s="4">
        <f>IF(A134="","",COUNTIF('Output Agus'!$B$2:$B$1000,A134))</f>
      </c>
      <c r="D134" s="4">
        <f>IF(A134="","",COUNTIF('Output Rexa'!$B$2:$B$1000,A134))</f>
      </c>
      <c r="E134" s="4">
        <f>IF(A134="","",B134-C134-D134)</f>
      </c>
    </row>
    <row r="135">
      <c r="A135" s="5">
        <f>IFERROR(INDEX('Input Barang'!$B$2:$B$1000,124),"")</f>
      </c>
      <c r="B135" s="4">
        <f>IF(A135="","",COUNTIF('Input Barang'!$B$2:$B$1000,A135))</f>
      </c>
      <c r="C135" s="4">
        <f>IF(A135="","",COUNTIF('Output Agus'!$B$2:$B$1000,A135))</f>
      </c>
      <c r="D135" s="4">
        <f>IF(A135="","",COUNTIF('Output Rexa'!$B$2:$B$1000,A135))</f>
      </c>
      <c r="E135" s="4">
        <f>IF(A135="","",B135-C135-D135)</f>
      </c>
    </row>
    <row r="136">
      <c r="A136" s="5">
        <f>IFERROR(INDEX('Input Barang'!$B$2:$B$1000,125),"")</f>
      </c>
      <c r="B136" s="4">
        <f>IF(A136="","",COUNTIF('Input Barang'!$B$2:$B$1000,A136))</f>
      </c>
      <c r="C136" s="4">
        <f>IF(A136="","",COUNTIF('Output Agus'!$B$2:$B$1000,A136))</f>
      </c>
      <c r="D136" s="4">
        <f>IF(A136="","",COUNTIF('Output Rexa'!$B$2:$B$1000,A136))</f>
      </c>
      <c r="E136" s="4">
        <f>IF(A136="","",B136-C136-D136)</f>
      </c>
    </row>
    <row r="137">
      <c r="A137" s="5">
        <f>IFERROR(INDEX('Input Barang'!$B$2:$B$1000,126),"")</f>
      </c>
      <c r="B137" s="4">
        <f>IF(A137="","",COUNTIF('Input Barang'!$B$2:$B$1000,A137))</f>
      </c>
      <c r="C137" s="4">
        <f>IF(A137="","",COUNTIF('Output Agus'!$B$2:$B$1000,A137))</f>
      </c>
      <c r="D137" s="4">
        <f>IF(A137="","",COUNTIF('Output Rexa'!$B$2:$B$1000,A137))</f>
      </c>
      <c r="E137" s="4">
        <f>IF(A137="","",B137-C137-D137)</f>
      </c>
    </row>
    <row r="138">
      <c r="A138" s="5">
        <f>IFERROR(INDEX('Input Barang'!$B$2:$B$1000,127),"")</f>
      </c>
      <c r="B138" s="4">
        <f>IF(A138="","",COUNTIF('Input Barang'!$B$2:$B$1000,A138))</f>
      </c>
      <c r="C138" s="4">
        <f>IF(A138="","",COUNTIF('Output Agus'!$B$2:$B$1000,A138))</f>
      </c>
      <c r="D138" s="4">
        <f>IF(A138="","",COUNTIF('Output Rexa'!$B$2:$B$1000,A138))</f>
      </c>
      <c r="E138" s="4">
        <f>IF(A138="","",B138-C138-D138)</f>
      </c>
    </row>
    <row r="139">
      <c r="A139" s="5">
        <f>IFERROR(INDEX('Input Barang'!$B$2:$B$1000,128),"")</f>
      </c>
      <c r="B139" s="4">
        <f>IF(A139="","",COUNTIF('Input Barang'!$B$2:$B$1000,A139))</f>
      </c>
      <c r="C139" s="4">
        <f>IF(A139="","",COUNTIF('Output Agus'!$B$2:$B$1000,A139))</f>
      </c>
      <c r="D139" s="4">
        <f>IF(A139="","",COUNTIF('Output Rexa'!$B$2:$B$1000,A139))</f>
      </c>
      <c r="E139" s="4">
        <f>IF(A139="","",B139-C139-D139)</f>
      </c>
    </row>
    <row r="140">
      <c r="A140" s="5">
        <f>IFERROR(INDEX('Input Barang'!$B$2:$B$1000,129),"")</f>
      </c>
      <c r="B140" s="4">
        <f>IF(A140="","",COUNTIF('Input Barang'!$B$2:$B$1000,A140))</f>
      </c>
      <c r="C140" s="4">
        <f>IF(A140="","",COUNTIF('Output Agus'!$B$2:$B$1000,A140))</f>
      </c>
      <c r="D140" s="4">
        <f>IF(A140="","",COUNTIF('Output Rexa'!$B$2:$B$1000,A140))</f>
      </c>
      <c r="E140" s="4">
        <f>IF(A140="","",B140-C140-D140)</f>
      </c>
    </row>
    <row r="141">
      <c r="A141" s="5">
        <f>IFERROR(INDEX('Input Barang'!$B$2:$B$1000,130),"")</f>
      </c>
      <c r="B141" s="4">
        <f>IF(A141="","",COUNTIF('Input Barang'!$B$2:$B$1000,A141))</f>
      </c>
      <c r="C141" s="4">
        <f>IF(A141="","",COUNTIF('Output Agus'!$B$2:$B$1000,A141))</f>
      </c>
      <c r="D141" s="4">
        <f>IF(A141="","",COUNTIF('Output Rexa'!$B$2:$B$1000,A141))</f>
      </c>
      <c r="E141" s="4">
        <f>IF(A141="","",B141-C141-D141)</f>
      </c>
    </row>
    <row r="142">
      <c r="A142" s="5">
        <f>IFERROR(INDEX('Input Barang'!$B$2:$B$1000,131),"")</f>
      </c>
      <c r="B142" s="4">
        <f>IF(A142="","",COUNTIF('Input Barang'!$B$2:$B$1000,A142))</f>
      </c>
      <c r="C142" s="4">
        <f>IF(A142="","",COUNTIF('Output Agus'!$B$2:$B$1000,A142))</f>
      </c>
      <c r="D142" s="4">
        <f>IF(A142="","",COUNTIF('Output Rexa'!$B$2:$B$1000,A142))</f>
      </c>
      <c r="E142" s="4">
        <f>IF(A142="","",B142-C142-D142)</f>
      </c>
    </row>
    <row r="143">
      <c r="A143" s="5">
        <f>IFERROR(INDEX('Input Barang'!$B$2:$B$1000,132),"")</f>
      </c>
      <c r="B143" s="4">
        <f>IF(A143="","",COUNTIF('Input Barang'!$B$2:$B$1000,A143))</f>
      </c>
      <c r="C143" s="4">
        <f>IF(A143="","",COUNTIF('Output Agus'!$B$2:$B$1000,A143))</f>
      </c>
      <c r="D143" s="4">
        <f>IF(A143="","",COUNTIF('Output Rexa'!$B$2:$B$1000,A143))</f>
      </c>
      <c r="E143" s="4">
        <f>IF(A143="","",B143-C143-D143)</f>
      </c>
    </row>
    <row r="144">
      <c r="A144" s="5">
        <f>IFERROR(INDEX('Input Barang'!$B$2:$B$1000,133),"")</f>
      </c>
      <c r="B144" s="4">
        <f>IF(A144="","",COUNTIF('Input Barang'!$B$2:$B$1000,A144))</f>
      </c>
      <c r="C144" s="4">
        <f>IF(A144="","",COUNTIF('Output Agus'!$B$2:$B$1000,A144))</f>
      </c>
      <c r="D144" s="4">
        <f>IF(A144="","",COUNTIF('Output Rexa'!$B$2:$B$1000,A144))</f>
      </c>
      <c r="E144" s="4">
        <f>IF(A144="","",B144-C144-D144)</f>
      </c>
    </row>
    <row r="145">
      <c r="A145" s="5">
        <f>IFERROR(INDEX('Input Barang'!$B$2:$B$1000,134),"")</f>
      </c>
      <c r="B145" s="4">
        <f>IF(A145="","",COUNTIF('Input Barang'!$B$2:$B$1000,A145))</f>
      </c>
      <c r="C145" s="4">
        <f>IF(A145="","",COUNTIF('Output Agus'!$B$2:$B$1000,A145))</f>
      </c>
      <c r="D145" s="4">
        <f>IF(A145="","",COUNTIF('Output Rexa'!$B$2:$B$1000,A145))</f>
      </c>
      <c r="E145" s="4">
        <f>IF(A145="","",B145-C145-D145)</f>
      </c>
    </row>
    <row r="146">
      <c r="A146" s="5">
        <f>IFERROR(INDEX('Input Barang'!$B$2:$B$1000,135),"")</f>
      </c>
      <c r="B146" s="4">
        <f>IF(A146="","",COUNTIF('Input Barang'!$B$2:$B$1000,A146))</f>
      </c>
      <c r="C146" s="4">
        <f>IF(A146="","",COUNTIF('Output Agus'!$B$2:$B$1000,A146))</f>
      </c>
      <c r="D146" s="4">
        <f>IF(A146="","",COUNTIF('Output Rexa'!$B$2:$B$1000,A146))</f>
      </c>
      <c r="E146" s="4">
        <f>IF(A146="","",B146-C146-D146)</f>
      </c>
    </row>
    <row r="147">
      <c r="A147" s="5">
        <f>IFERROR(INDEX('Input Barang'!$B$2:$B$1000,136),"")</f>
      </c>
      <c r="B147" s="4">
        <f>IF(A147="","",COUNTIF('Input Barang'!$B$2:$B$1000,A147))</f>
      </c>
      <c r="C147" s="4">
        <f>IF(A147="","",COUNTIF('Output Agus'!$B$2:$B$1000,A147))</f>
      </c>
      <c r="D147" s="4">
        <f>IF(A147="","",COUNTIF('Output Rexa'!$B$2:$B$1000,A147))</f>
      </c>
      <c r="E147" s="4">
        <f>IF(A147="","",B147-C147-D147)</f>
      </c>
    </row>
    <row r="148">
      <c r="A148" s="5">
        <f>IFERROR(INDEX('Input Barang'!$B$2:$B$1000,137),"")</f>
      </c>
      <c r="B148" s="4">
        <f>IF(A148="","",COUNTIF('Input Barang'!$B$2:$B$1000,A148))</f>
      </c>
      <c r="C148" s="4">
        <f>IF(A148="","",COUNTIF('Output Agus'!$B$2:$B$1000,A148))</f>
      </c>
      <c r="D148" s="4">
        <f>IF(A148="","",COUNTIF('Output Rexa'!$B$2:$B$1000,A148))</f>
      </c>
      <c r="E148" s="4">
        <f>IF(A148="","",B148-C148-D148)</f>
      </c>
    </row>
    <row r="149">
      <c r="A149" s="5">
        <f>IFERROR(INDEX('Input Barang'!$B$2:$B$1000,138),"")</f>
      </c>
      <c r="B149" s="4">
        <f>IF(A149="","",COUNTIF('Input Barang'!$B$2:$B$1000,A149))</f>
      </c>
      <c r="C149" s="4">
        <f>IF(A149="","",COUNTIF('Output Agus'!$B$2:$B$1000,A149))</f>
      </c>
      <c r="D149" s="4">
        <f>IF(A149="","",COUNTIF('Output Rexa'!$B$2:$B$1000,A149))</f>
      </c>
      <c r="E149" s="4">
        <f>IF(A149="","",B149-C149-D149)</f>
      </c>
    </row>
    <row r="150">
      <c r="A150" s="5">
        <f>IFERROR(INDEX('Input Barang'!$B$2:$B$1000,139),"")</f>
      </c>
      <c r="B150" s="4">
        <f>IF(A150="","",COUNTIF('Input Barang'!$B$2:$B$1000,A150))</f>
      </c>
      <c r="C150" s="4">
        <f>IF(A150="","",COUNTIF('Output Agus'!$B$2:$B$1000,A150))</f>
      </c>
      <c r="D150" s="4">
        <f>IF(A150="","",COUNTIF('Output Rexa'!$B$2:$B$1000,A150))</f>
      </c>
      <c r="E150" s="4">
        <f>IF(A150="","",B150-C150-D150)</f>
      </c>
    </row>
    <row r="151">
      <c r="A151" s="5">
        <f>IFERROR(INDEX('Input Barang'!$B$2:$B$1000,140),"")</f>
      </c>
      <c r="B151" s="4">
        <f>IF(A151="","",COUNTIF('Input Barang'!$B$2:$B$1000,A151))</f>
      </c>
      <c r="C151" s="4">
        <f>IF(A151="","",COUNTIF('Output Agus'!$B$2:$B$1000,A151))</f>
      </c>
      <c r="D151" s="4">
        <f>IF(A151="","",COUNTIF('Output Rexa'!$B$2:$B$1000,A151))</f>
      </c>
      <c r="E151" s="4">
        <f>IF(A151="","",B151-C151-D151)</f>
      </c>
    </row>
    <row r="152">
      <c r="A152" s="5">
        <f>IFERROR(INDEX('Input Barang'!$B$2:$B$1000,141),"")</f>
      </c>
      <c r="B152" s="4">
        <f>IF(A152="","",COUNTIF('Input Barang'!$B$2:$B$1000,A152))</f>
      </c>
      <c r="C152" s="4">
        <f>IF(A152="","",COUNTIF('Output Agus'!$B$2:$B$1000,A152))</f>
      </c>
      <c r="D152" s="4">
        <f>IF(A152="","",COUNTIF('Output Rexa'!$B$2:$B$1000,A152))</f>
      </c>
      <c r="E152" s="4">
        <f>IF(A152="","",B152-C152-D152)</f>
      </c>
    </row>
    <row r="153">
      <c r="A153" s="5">
        <f>IFERROR(INDEX('Input Barang'!$B$2:$B$1000,142),"")</f>
      </c>
      <c r="B153" s="4">
        <f>IF(A153="","",COUNTIF('Input Barang'!$B$2:$B$1000,A153))</f>
      </c>
      <c r="C153" s="4">
        <f>IF(A153="","",COUNTIF('Output Agus'!$B$2:$B$1000,A153))</f>
      </c>
      <c r="D153" s="4">
        <f>IF(A153="","",COUNTIF('Output Rexa'!$B$2:$B$1000,A153))</f>
      </c>
      <c r="E153" s="4">
        <f>IF(A153="","",B153-C153-D153)</f>
      </c>
    </row>
    <row r="154">
      <c r="A154" s="5">
        <f>IFERROR(INDEX('Input Barang'!$B$2:$B$1000,143),"")</f>
      </c>
      <c r="B154" s="4">
        <f>IF(A154="","",COUNTIF('Input Barang'!$B$2:$B$1000,A154))</f>
      </c>
      <c r="C154" s="4">
        <f>IF(A154="","",COUNTIF('Output Agus'!$B$2:$B$1000,A154))</f>
      </c>
      <c r="D154" s="4">
        <f>IF(A154="","",COUNTIF('Output Rexa'!$B$2:$B$1000,A154))</f>
      </c>
      <c r="E154" s="4">
        <f>IF(A154="","",B154-C154-D154)</f>
      </c>
    </row>
    <row r="155">
      <c r="A155" s="5">
        <f>IFERROR(INDEX('Input Barang'!$B$2:$B$1000,144),"")</f>
      </c>
      <c r="B155" s="4">
        <f>IF(A155="","",COUNTIF('Input Barang'!$B$2:$B$1000,A155))</f>
      </c>
      <c r="C155" s="4">
        <f>IF(A155="","",COUNTIF('Output Agus'!$B$2:$B$1000,A155))</f>
      </c>
      <c r="D155" s="4">
        <f>IF(A155="","",COUNTIF('Output Rexa'!$B$2:$B$1000,A155))</f>
      </c>
      <c r="E155" s="4">
        <f>IF(A155="","",B155-C155-D155)</f>
      </c>
    </row>
    <row r="156">
      <c r="A156" s="5">
        <f>IFERROR(INDEX('Input Barang'!$B$2:$B$1000,145),"")</f>
      </c>
      <c r="B156" s="4">
        <f>IF(A156="","",COUNTIF('Input Barang'!$B$2:$B$1000,A156))</f>
      </c>
      <c r="C156" s="4">
        <f>IF(A156="","",COUNTIF('Output Agus'!$B$2:$B$1000,A156))</f>
      </c>
      <c r="D156" s="4">
        <f>IF(A156="","",COUNTIF('Output Rexa'!$B$2:$B$1000,A156))</f>
      </c>
      <c r="E156" s="4">
        <f>IF(A156="","",B156-C156-D156)</f>
      </c>
    </row>
    <row r="157">
      <c r="A157" s="5">
        <f>IFERROR(INDEX('Input Barang'!$B$2:$B$1000,146),"")</f>
      </c>
      <c r="B157" s="4">
        <f>IF(A157="","",COUNTIF('Input Barang'!$B$2:$B$1000,A157))</f>
      </c>
      <c r="C157" s="4">
        <f>IF(A157="","",COUNTIF('Output Agus'!$B$2:$B$1000,A157))</f>
      </c>
      <c r="D157" s="4">
        <f>IF(A157="","",COUNTIF('Output Rexa'!$B$2:$B$1000,A157))</f>
      </c>
      <c r="E157" s="4">
        <f>IF(A157="","",B157-C157-D157)</f>
      </c>
    </row>
    <row r="158">
      <c r="A158" s="5">
        <f>IFERROR(INDEX('Input Barang'!$B$2:$B$1000,147),"")</f>
      </c>
      <c r="B158" s="4">
        <f>IF(A158="","",COUNTIF('Input Barang'!$B$2:$B$1000,A158))</f>
      </c>
      <c r="C158" s="4">
        <f>IF(A158="","",COUNTIF('Output Agus'!$B$2:$B$1000,A158))</f>
      </c>
      <c r="D158" s="4">
        <f>IF(A158="","",COUNTIF('Output Rexa'!$B$2:$B$1000,A158))</f>
      </c>
      <c r="E158" s="4">
        <f>IF(A158="","",B158-C158-D158)</f>
      </c>
    </row>
    <row r="159">
      <c r="A159" s="5">
        <f>IFERROR(INDEX('Input Barang'!$B$2:$B$1000,148),"")</f>
      </c>
      <c r="B159" s="4">
        <f>IF(A159="","",COUNTIF('Input Barang'!$B$2:$B$1000,A159))</f>
      </c>
      <c r="C159" s="4">
        <f>IF(A159="","",COUNTIF('Output Agus'!$B$2:$B$1000,A159))</f>
      </c>
      <c r="D159" s="4">
        <f>IF(A159="","",COUNTIF('Output Rexa'!$B$2:$B$1000,A159))</f>
      </c>
      <c r="E159" s="4">
        <f>IF(A159="","",B159-C159-D159)</f>
      </c>
    </row>
    <row r="160">
      <c r="A160" s="5">
        <f>IFERROR(INDEX('Input Barang'!$B$2:$B$1000,149),"")</f>
      </c>
      <c r="B160" s="4">
        <f>IF(A160="","",COUNTIF('Input Barang'!$B$2:$B$1000,A160))</f>
      </c>
      <c r="C160" s="4">
        <f>IF(A160="","",COUNTIF('Output Agus'!$B$2:$B$1000,A160))</f>
      </c>
      <c r="D160" s="4">
        <f>IF(A160="","",COUNTIF('Output Rexa'!$B$2:$B$1000,A160))</f>
      </c>
      <c r="E160" s="4">
        <f>IF(A160="","",B160-C160-D160)</f>
      </c>
    </row>
    <row r="161">
      <c r="A161" s="5">
        <f>IFERROR(INDEX('Input Barang'!$B$2:$B$1000,150),"")</f>
      </c>
      <c r="B161" s="4">
        <f>IF(A161="","",COUNTIF('Input Barang'!$B$2:$B$1000,A161))</f>
      </c>
      <c r="C161" s="4">
        <f>IF(A161="","",COUNTIF('Output Agus'!$B$2:$B$1000,A161))</f>
      </c>
      <c r="D161" s="4">
        <f>IF(A161="","",COUNTIF('Output Rexa'!$B$2:$B$1000,A161))</f>
      </c>
      <c r="E161" s="4">
        <f>IF(A161="","",B161-C161-D161)</f>
      </c>
    </row>
    <row r="162">
      <c r="A162" s="5">
        <f>IFERROR(INDEX('Input Barang'!$B$2:$B$1000,151),"")</f>
      </c>
      <c r="B162" s="4">
        <f>IF(A162="","",COUNTIF('Input Barang'!$B$2:$B$1000,A162))</f>
      </c>
      <c r="C162" s="4">
        <f>IF(A162="","",COUNTIF('Output Agus'!$B$2:$B$1000,A162))</f>
      </c>
      <c r="D162" s="4">
        <f>IF(A162="","",COUNTIF('Output Rexa'!$B$2:$B$1000,A162))</f>
      </c>
      <c r="E162" s="4">
        <f>IF(A162="","",B162-C162-D162)</f>
      </c>
    </row>
    <row r="163">
      <c r="A163" s="5">
        <f>IFERROR(INDEX('Input Barang'!$B$2:$B$1000,152),"")</f>
      </c>
      <c r="B163" s="4">
        <f>IF(A163="","",COUNTIF('Input Barang'!$B$2:$B$1000,A163))</f>
      </c>
      <c r="C163" s="4">
        <f>IF(A163="","",COUNTIF('Output Agus'!$B$2:$B$1000,A163))</f>
      </c>
      <c r="D163" s="4">
        <f>IF(A163="","",COUNTIF('Output Rexa'!$B$2:$B$1000,A163))</f>
      </c>
      <c r="E163" s="4">
        <f>IF(A163="","",B163-C163-D163)</f>
      </c>
    </row>
    <row r="164">
      <c r="A164" s="5">
        <f>IFERROR(INDEX('Input Barang'!$B$2:$B$1000,153),"")</f>
      </c>
      <c r="B164" s="4">
        <f>IF(A164="","",COUNTIF('Input Barang'!$B$2:$B$1000,A164))</f>
      </c>
      <c r="C164" s="4">
        <f>IF(A164="","",COUNTIF('Output Agus'!$B$2:$B$1000,A164))</f>
      </c>
      <c r="D164" s="4">
        <f>IF(A164="","",COUNTIF('Output Rexa'!$B$2:$B$1000,A164))</f>
      </c>
      <c r="E164" s="4">
        <f>IF(A164="","",B164-C164-D164)</f>
      </c>
    </row>
    <row r="165">
      <c r="A165" s="5">
        <f>IFERROR(INDEX('Input Barang'!$B$2:$B$1000,154),"")</f>
      </c>
      <c r="B165" s="4">
        <f>IF(A165="","",COUNTIF('Input Barang'!$B$2:$B$1000,A165))</f>
      </c>
      <c r="C165" s="4">
        <f>IF(A165="","",COUNTIF('Output Agus'!$B$2:$B$1000,A165))</f>
      </c>
      <c r="D165" s="4">
        <f>IF(A165="","",COUNTIF('Output Rexa'!$B$2:$B$1000,A165))</f>
      </c>
      <c r="E165" s="4">
        <f>IF(A165="","",B165-C165-D165)</f>
      </c>
    </row>
    <row r="166">
      <c r="A166" s="5">
        <f>IFERROR(INDEX('Input Barang'!$B$2:$B$1000,155),"")</f>
      </c>
      <c r="B166" s="4">
        <f>IF(A166="","",COUNTIF('Input Barang'!$B$2:$B$1000,A166))</f>
      </c>
      <c r="C166" s="4">
        <f>IF(A166="","",COUNTIF('Output Agus'!$B$2:$B$1000,A166))</f>
      </c>
      <c r="D166" s="4">
        <f>IF(A166="","",COUNTIF('Output Rexa'!$B$2:$B$1000,A166))</f>
      </c>
      <c r="E166" s="4">
        <f>IF(A166="","",B166-C166-D166)</f>
      </c>
    </row>
    <row r="167">
      <c r="A167" s="5">
        <f>IFERROR(INDEX('Input Barang'!$B$2:$B$1000,156),"")</f>
      </c>
      <c r="B167" s="4">
        <f>IF(A167="","",COUNTIF('Input Barang'!$B$2:$B$1000,A167))</f>
      </c>
      <c r="C167" s="4">
        <f>IF(A167="","",COUNTIF('Output Agus'!$B$2:$B$1000,A167))</f>
      </c>
      <c r="D167" s="4">
        <f>IF(A167="","",COUNTIF('Output Rexa'!$B$2:$B$1000,A167))</f>
      </c>
      <c r="E167" s="4">
        <f>IF(A167="","",B167-C167-D167)</f>
      </c>
    </row>
    <row r="168">
      <c r="A168" s="5">
        <f>IFERROR(INDEX('Input Barang'!$B$2:$B$1000,157),"")</f>
      </c>
      <c r="B168" s="4">
        <f>IF(A168="","",COUNTIF('Input Barang'!$B$2:$B$1000,A168))</f>
      </c>
      <c r="C168" s="4">
        <f>IF(A168="","",COUNTIF('Output Agus'!$B$2:$B$1000,A168))</f>
      </c>
      <c r="D168" s="4">
        <f>IF(A168="","",COUNTIF('Output Rexa'!$B$2:$B$1000,A168))</f>
      </c>
      <c r="E168" s="4">
        <f>IF(A168="","",B168-C168-D168)</f>
      </c>
    </row>
    <row r="169">
      <c r="A169" s="5">
        <f>IFERROR(INDEX('Input Barang'!$B$2:$B$1000,158),"")</f>
      </c>
      <c r="B169" s="4">
        <f>IF(A169="","",COUNTIF('Input Barang'!$B$2:$B$1000,A169))</f>
      </c>
      <c r="C169" s="4">
        <f>IF(A169="","",COUNTIF('Output Agus'!$B$2:$B$1000,A169))</f>
      </c>
      <c r="D169" s="4">
        <f>IF(A169="","",COUNTIF('Output Rexa'!$B$2:$B$1000,A169))</f>
      </c>
      <c r="E169" s="4">
        <f>IF(A169="","",B169-C169-D169)</f>
      </c>
    </row>
    <row r="170">
      <c r="A170" s="5">
        <f>IFERROR(INDEX('Input Barang'!$B$2:$B$1000,159),"")</f>
      </c>
      <c r="B170" s="4">
        <f>IF(A170="","",COUNTIF('Input Barang'!$B$2:$B$1000,A170))</f>
      </c>
      <c r="C170" s="4">
        <f>IF(A170="","",COUNTIF('Output Agus'!$B$2:$B$1000,A170))</f>
      </c>
      <c r="D170" s="4">
        <f>IF(A170="","",COUNTIF('Output Rexa'!$B$2:$B$1000,A170))</f>
      </c>
      <c r="E170" s="4">
        <f>IF(A170="","",B170-C170-D170)</f>
      </c>
    </row>
    <row r="171">
      <c r="A171" s="5">
        <f>IFERROR(INDEX('Input Barang'!$B$2:$B$1000,160),"")</f>
      </c>
      <c r="B171" s="4">
        <f>IF(A171="","",COUNTIF('Input Barang'!$B$2:$B$1000,A171))</f>
      </c>
      <c r="C171" s="4">
        <f>IF(A171="","",COUNTIF('Output Agus'!$B$2:$B$1000,A171))</f>
      </c>
      <c r="D171" s="4">
        <f>IF(A171="","",COUNTIF('Output Rexa'!$B$2:$B$1000,A171))</f>
      </c>
      <c r="E171" s="4">
        <f>IF(A171="","",B171-C171-D171)</f>
      </c>
    </row>
    <row r="172">
      <c r="A172" s="5">
        <f>IFERROR(INDEX('Input Barang'!$B$2:$B$1000,161),"")</f>
      </c>
      <c r="B172" s="4">
        <f>IF(A172="","",COUNTIF('Input Barang'!$B$2:$B$1000,A172))</f>
      </c>
      <c r="C172" s="4">
        <f>IF(A172="","",COUNTIF('Output Agus'!$B$2:$B$1000,A172))</f>
      </c>
      <c r="D172" s="4">
        <f>IF(A172="","",COUNTIF('Output Rexa'!$B$2:$B$1000,A172))</f>
      </c>
      <c r="E172" s="4">
        <f>IF(A172="","",B172-C172-D172)</f>
      </c>
    </row>
    <row r="173">
      <c r="A173" s="5">
        <f>IFERROR(INDEX('Input Barang'!$B$2:$B$1000,162),"")</f>
      </c>
      <c r="B173" s="4">
        <f>IF(A173="","",COUNTIF('Input Barang'!$B$2:$B$1000,A173))</f>
      </c>
      <c r="C173" s="4">
        <f>IF(A173="","",COUNTIF('Output Agus'!$B$2:$B$1000,A173))</f>
      </c>
      <c r="D173" s="4">
        <f>IF(A173="","",COUNTIF('Output Rexa'!$B$2:$B$1000,A173))</f>
      </c>
      <c r="E173" s="4">
        <f>IF(A173="","",B173-C173-D173)</f>
      </c>
    </row>
    <row r="174">
      <c r="A174" s="5">
        <f>IFERROR(INDEX('Input Barang'!$B$2:$B$1000,163),"")</f>
      </c>
      <c r="B174" s="4">
        <f>IF(A174="","",COUNTIF('Input Barang'!$B$2:$B$1000,A174))</f>
      </c>
      <c r="C174" s="4">
        <f>IF(A174="","",COUNTIF('Output Agus'!$B$2:$B$1000,A174))</f>
      </c>
      <c r="D174" s="4">
        <f>IF(A174="","",COUNTIF('Output Rexa'!$B$2:$B$1000,A174))</f>
      </c>
      <c r="E174" s="4">
        <f>IF(A174="","",B174-C174-D174)</f>
      </c>
    </row>
    <row r="175">
      <c r="A175" s="5">
        <f>IFERROR(INDEX('Input Barang'!$B$2:$B$1000,164),"")</f>
      </c>
      <c r="B175" s="4">
        <f>IF(A175="","",COUNTIF('Input Barang'!$B$2:$B$1000,A175))</f>
      </c>
      <c r="C175" s="4">
        <f>IF(A175="","",COUNTIF('Output Agus'!$B$2:$B$1000,A175))</f>
      </c>
      <c r="D175" s="4">
        <f>IF(A175="","",COUNTIF('Output Rexa'!$B$2:$B$1000,A175))</f>
      </c>
      <c r="E175" s="4">
        <f>IF(A175="","",B175-C175-D175)</f>
      </c>
    </row>
    <row r="176">
      <c r="A176" s="5">
        <f>IFERROR(INDEX('Input Barang'!$B$2:$B$1000,165),"")</f>
      </c>
      <c r="B176" s="4">
        <f>IF(A176="","",COUNTIF('Input Barang'!$B$2:$B$1000,A176))</f>
      </c>
      <c r="C176" s="4">
        <f>IF(A176="","",COUNTIF('Output Agus'!$B$2:$B$1000,A176))</f>
      </c>
      <c r="D176" s="4">
        <f>IF(A176="","",COUNTIF('Output Rexa'!$B$2:$B$1000,A176))</f>
      </c>
      <c r="E176" s="4">
        <f>IF(A176="","",B176-C176-D176)</f>
      </c>
    </row>
    <row r="177">
      <c r="A177" s="5">
        <f>IFERROR(INDEX('Input Barang'!$B$2:$B$1000,166),"")</f>
      </c>
      <c r="B177" s="4">
        <f>IF(A177="","",COUNTIF('Input Barang'!$B$2:$B$1000,A177))</f>
      </c>
      <c r="C177" s="4">
        <f>IF(A177="","",COUNTIF('Output Agus'!$B$2:$B$1000,A177))</f>
      </c>
      <c r="D177" s="4">
        <f>IF(A177="","",COUNTIF('Output Rexa'!$B$2:$B$1000,A177))</f>
      </c>
      <c r="E177" s="4">
        <f>IF(A177="","",B177-C177-D177)</f>
      </c>
    </row>
    <row r="178">
      <c r="A178" s="5">
        <f>IFERROR(INDEX('Input Barang'!$B$2:$B$1000,167),"")</f>
      </c>
      <c r="B178" s="4">
        <f>IF(A178="","",COUNTIF('Input Barang'!$B$2:$B$1000,A178))</f>
      </c>
      <c r="C178" s="4">
        <f>IF(A178="","",COUNTIF('Output Agus'!$B$2:$B$1000,A178))</f>
      </c>
      <c r="D178" s="4">
        <f>IF(A178="","",COUNTIF('Output Rexa'!$B$2:$B$1000,A178))</f>
      </c>
      <c r="E178" s="4">
        <f>IF(A178="","",B178-C178-D178)</f>
      </c>
    </row>
    <row r="179">
      <c r="A179" s="5">
        <f>IFERROR(INDEX('Input Barang'!$B$2:$B$1000,168),"")</f>
      </c>
      <c r="B179" s="4">
        <f>IF(A179="","",COUNTIF('Input Barang'!$B$2:$B$1000,A179))</f>
      </c>
      <c r="C179" s="4">
        <f>IF(A179="","",COUNTIF('Output Agus'!$B$2:$B$1000,A179))</f>
      </c>
      <c r="D179" s="4">
        <f>IF(A179="","",COUNTIF('Output Rexa'!$B$2:$B$1000,A179))</f>
      </c>
      <c r="E179" s="4">
        <f>IF(A179="","",B179-C179-D179)</f>
      </c>
    </row>
    <row r="180">
      <c r="A180" s="5">
        <f>IFERROR(INDEX('Input Barang'!$B$2:$B$1000,169),"")</f>
      </c>
      <c r="B180" s="4">
        <f>IF(A180="","",COUNTIF('Input Barang'!$B$2:$B$1000,A180))</f>
      </c>
      <c r="C180" s="4">
        <f>IF(A180="","",COUNTIF('Output Agus'!$B$2:$B$1000,A180))</f>
      </c>
      <c r="D180" s="4">
        <f>IF(A180="","",COUNTIF('Output Rexa'!$B$2:$B$1000,A180))</f>
      </c>
      <c r="E180" s="4">
        <f>IF(A180="","",B180-C180-D180)</f>
      </c>
    </row>
    <row r="181">
      <c r="A181" s="5">
        <f>IFERROR(INDEX('Input Barang'!$B$2:$B$1000,170),"")</f>
      </c>
      <c r="B181" s="4">
        <f>IF(A181="","",COUNTIF('Input Barang'!$B$2:$B$1000,A181))</f>
      </c>
      <c r="C181" s="4">
        <f>IF(A181="","",COUNTIF('Output Agus'!$B$2:$B$1000,A181))</f>
      </c>
      <c r="D181" s="4">
        <f>IF(A181="","",COUNTIF('Output Rexa'!$B$2:$B$1000,A181))</f>
      </c>
      <c r="E181" s="4">
        <f>IF(A181="","",B181-C181-D181)</f>
      </c>
    </row>
    <row r="182">
      <c r="A182" s="5">
        <f>IFERROR(INDEX('Input Barang'!$B$2:$B$1000,171),"")</f>
      </c>
      <c r="B182" s="4">
        <f>IF(A182="","",COUNTIF('Input Barang'!$B$2:$B$1000,A182))</f>
      </c>
      <c r="C182" s="4">
        <f>IF(A182="","",COUNTIF('Output Agus'!$B$2:$B$1000,A182))</f>
      </c>
      <c r="D182" s="4">
        <f>IF(A182="","",COUNTIF('Output Rexa'!$B$2:$B$1000,A182))</f>
      </c>
      <c r="E182" s="4">
        <f>IF(A182="","",B182-C182-D182)</f>
      </c>
    </row>
    <row r="183">
      <c r="A183" s="5">
        <f>IFERROR(INDEX('Input Barang'!$B$2:$B$1000,172),"")</f>
      </c>
      <c r="B183" s="4">
        <f>IF(A183="","",COUNTIF('Input Barang'!$B$2:$B$1000,A183))</f>
      </c>
      <c r="C183" s="4">
        <f>IF(A183="","",COUNTIF('Output Agus'!$B$2:$B$1000,A183))</f>
      </c>
      <c r="D183" s="4">
        <f>IF(A183="","",COUNTIF('Output Rexa'!$B$2:$B$1000,A183))</f>
      </c>
      <c r="E183" s="4">
        <f>IF(A183="","",B183-C183-D183)</f>
      </c>
    </row>
    <row r="184">
      <c r="A184" s="5">
        <f>IFERROR(INDEX('Input Barang'!$B$2:$B$1000,173),"")</f>
      </c>
      <c r="B184" s="4">
        <f>IF(A184="","",COUNTIF('Input Barang'!$B$2:$B$1000,A184))</f>
      </c>
      <c r="C184" s="4">
        <f>IF(A184="","",COUNTIF('Output Agus'!$B$2:$B$1000,A184))</f>
      </c>
      <c r="D184" s="4">
        <f>IF(A184="","",COUNTIF('Output Rexa'!$B$2:$B$1000,A184))</f>
      </c>
      <c r="E184" s="4">
        <f>IF(A184="","",B184-C184-D184)</f>
      </c>
    </row>
    <row r="185">
      <c r="A185" s="5">
        <f>IFERROR(INDEX('Input Barang'!$B$2:$B$1000,174),"")</f>
      </c>
      <c r="B185" s="4">
        <f>IF(A185="","",COUNTIF('Input Barang'!$B$2:$B$1000,A185))</f>
      </c>
      <c r="C185" s="4">
        <f>IF(A185="","",COUNTIF('Output Agus'!$B$2:$B$1000,A185))</f>
      </c>
      <c r="D185" s="4">
        <f>IF(A185="","",COUNTIF('Output Rexa'!$B$2:$B$1000,A185))</f>
      </c>
      <c r="E185" s="4">
        <f>IF(A185="","",B185-C185-D185)</f>
      </c>
    </row>
    <row r="186">
      <c r="A186" s="5">
        <f>IFERROR(INDEX('Input Barang'!$B$2:$B$1000,175),"")</f>
      </c>
      <c r="B186" s="4">
        <f>IF(A186="","",COUNTIF('Input Barang'!$B$2:$B$1000,A186))</f>
      </c>
      <c r="C186" s="4">
        <f>IF(A186="","",COUNTIF('Output Agus'!$B$2:$B$1000,A186))</f>
      </c>
      <c r="D186" s="4">
        <f>IF(A186="","",COUNTIF('Output Rexa'!$B$2:$B$1000,A186))</f>
      </c>
      <c r="E186" s="4">
        <f>IF(A186="","",B186-C186-D186)</f>
      </c>
    </row>
    <row r="187">
      <c r="A187" s="5">
        <f>IFERROR(INDEX('Input Barang'!$B$2:$B$1000,176),"")</f>
      </c>
      <c r="B187" s="4">
        <f>IF(A187="","",COUNTIF('Input Barang'!$B$2:$B$1000,A187))</f>
      </c>
      <c r="C187" s="4">
        <f>IF(A187="","",COUNTIF('Output Agus'!$B$2:$B$1000,A187))</f>
      </c>
      <c r="D187" s="4">
        <f>IF(A187="","",COUNTIF('Output Rexa'!$B$2:$B$1000,A187))</f>
      </c>
      <c r="E187" s="4">
        <f>IF(A187="","",B187-C187-D187)</f>
      </c>
    </row>
    <row r="188">
      <c r="A188" s="5">
        <f>IFERROR(INDEX('Input Barang'!$B$2:$B$1000,177),"")</f>
      </c>
      <c r="B188" s="4">
        <f>IF(A188="","",COUNTIF('Input Barang'!$B$2:$B$1000,A188))</f>
      </c>
      <c r="C188" s="4">
        <f>IF(A188="","",COUNTIF('Output Agus'!$B$2:$B$1000,A188))</f>
      </c>
      <c r="D188" s="4">
        <f>IF(A188="","",COUNTIF('Output Rexa'!$B$2:$B$1000,A188))</f>
      </c>
      <c r="E188" s="4">
        <f>IF(A188="","",B188-C188-D188)</f>
      </c>
    </row>
    <row r="189">
      <c r="A189" s="5">
        <f>IFERROR(INDEX('Input Barang'!$B$2:$B$1000,178),"")</f>
      </c>
      <c r="B189" s="4">
        <f>IF(A189="","",COUNTIF('Input Barang'!$B$2:$B$1000,A189))</f>
      </c>
      <c r="C189" s="4">
        <f>IF(A189="","",COUNTIF('Output Agus'!$B$2:$B$1000,A189))</f>
      </c>
      <c r="D189" s="4">
        <f>IF(A189="","",COUNTIF('Output Rexa'!$B$2:$B$1000,A189))</f>
      </c>
      <c r="E189" s="4">
        <f>IF(A189="","",B189-C189-D189)</f>
      </c>
    </row>
    <row r="190">
      <c r="A190" s="5">
        <f>IFERROR(INDEX('Input Barang'!$B$2:$B$1000,179),"")</f>
      </c>
      <c r="B190" s="4">
        <f>IF(A190="","",COUNTIF('Input Barang'!$B$2:$B$1000,A190))</f>
      </c>
      <c r="C190" s="4">
        <f>IF(A190="","",COUNTIF('Output Agus'!$B$2:$B$1000,A190))</f>
      </c>
      <c r="D190" s="4">
        <f>IF(A190="","",COUNTIF('Output Rexa'!$B$2:$B$1000,A190))</f>
      </c>
      <c r="E190" s="4">
        <f>IF(A190="","",B190-C190-D190)</f>
      </c>
    </row>
    <row r="191">
      <c r="A191" s="5">
        <f>IFERROR(INDEX('Input Barang'!$B$2:$B$1000,180),"")</f>
      </c>
      <c r="B191" s="4">
        <f>IF(A191="","",COUNTIF('Input Barang'!$B$2:$B$1000,A191))</f>
      </c>
      <c r="C191" s="4">
        <f>IF(A191="","",COUNTIF('Output Agus'!$B$2:$B$1000,A191))</f>
      </c>
      <c r="D191" s="4">
        <f>IF(A191="","",COUNTIF('Output Rexa'!$B$2:$B$1000,A191))</f>
      </c>
      <c r="E191" s="4">
        <f>IF(A191="","",B191-C191-D191)</f>
      </c>
    </row>
    <row r="192">
      <c r="A192" s="5">
        <f>IFERROR(INDEX('Input Barang'!$B$2:$B$1000,181),"")</f>
      </c>
      <c r="B192" s="4">
        <f>IF(A192="","",COUNTIF('Input Barang'!$B$2:$B$1000,A192))</f>
      </c>
      <c r="C192" s="4">
        <f>IF(A192="","",COUNTIF('Output Agus'!$B$2:$B$1000,A192))</f>
      </c>
      <c r="D192" s="4">
        <f>IF(A192="","",COUNTIF('Output Rexa'!$B$2:$B$1000,A192))</f>
      </c>
      <c r="E192" s="4">
        <f>IF(A192="","",B192-C192-D192)</f>
      </c>
    </row>
    <row r="193">
      <c r="A193" s="5">
        <f>IFERROR(INDEX('Input Barang'!$B$2:$B$1000,182),"")</f>
      </c>
      <c r="B193" s="4">
        <f>IF(A193="","",COUNTIF('Input Barang'!$B$2:$B$1000,A193))</f>
      </c>
      <c r="C193" s="4">
        <f>IF(A193="","",COUNTIF('Output Agus'!$B$2:$B$1000,A193))</f>
      </c>
      <c r="D193" s="4">
        <f>IF(A193="","",COUNTIF('Output Rexa'!$B$2:$B$1000,A193))</f>
      </c>
      <c r="E193" s="4">
        <f>IF(A193="","",B193-C193-D193)</f>
      </c>
    </row>
    <row r="194">
      <c r="A194" s="5">
        <f>IFERROR(INDEX('Input Barang'!$B$2:$B$1000,183),"")</f>
      </c>
      <c r="B194" s="4">
        <f>IF(A194="","",COUNTIF('Input Barang'!$B$2:$B$1000,A194))</f>
      </c>
      <c r="C194" s="4">
        <f>IF(A194="","",COUNTIF('Output Agus'!$B$2:$B$1000,A194))</f>
      </c>
      <c r="D194" s="4">
        <f>IF(A194="","",COUNTIF('Output Rexa'!$B$2:$B$1000,A194))</f>
      </c>
      <c r="E194" s="4">
        <f>IF(A194="","",B194-C194-D194)</f>
      </c>
    </row>
    <row r="195">
      <c r="A195" s="5">
        <f>IFERROR(INDEX('Input Barang'!$B$2:$B$1000,184),"")</f>
      </c>
      <c r="B195" s="4">
        <f>IF(A195="","",COUNTIF('Input Barang'!$B$2:$B$1000,A195))</f>
      </c>
      <c r="C195" s="4">
        <f>IF(A195="","",COUNTIF('Output Agus'!$B$2:$B$1000,A195))</f>
      </c>
      <c r="D195" s="4">
        <f>IF(A195="","",COUNTIF('Output Rexa'!$B$2:$B$1000,A195))</f>
      </c>
      <c r="E195" s="4">
        <f>IF(A195="","",B195-C195-D195)</f>
      </c>
    </row>
    <row r="196">
      <c r="A196" s="5">
        <f>IFERROR(INDEX('Input Barang'!$B$2:$B$1000,185),"")</f>
      </c>
      <c r="B196" s="4">
        <f>IF(A196="","",COUNTIF('Input Barang'!$B$2:$B$1000,A196))</f>
      </c>
      <c r="C196" s="4">
        <f>IF(A196="","",COUNTIF('Output Agus'!$B$2:$B$1000,A196))</f>
      </c>
      <c r="D196" s="4">
        <f>IF(A196="","",COUNTIF('Output Rexa'!$B$2:$B$1000,A196))</f>
      </c>
      <c r="E196" s="4">
        <f>IF(A196="","",B196-C196-D196)</f>
      </c>
    </row>
    <row r="197">
      <c r="A197" s="5">
        <f>IFERROR(INDEX('Input Barang'!$B$2:$B$1000,186),"")</f>
      </c>
      <c r="B197" s="4">
        <f>IF(A197="","",COUNTIF('Input Barang'!$B$2:$B$1000,A197))</f>
      </c>
      <c r="C197" s="4">
        <f>IF(A197="","",COUNTIF('Output Agus'!$B$2:$B$1000,A197))</f>
      </c>
      <c r="D197" s="4">
        <f>IF(A197="","",COUNTIF('Output Rexa'!$B$2:$B$1000,A197))</f>
      </c>
      <c r="E197" s="4">
        <f>IF(A197="","",B197-C197-D197)</f>
      </c>
    </row>
    <row r="198">
      <c r="A198" s="5">
        <f>IFERROR(INDEX('Input Barang'!$B$2:$B$1000,187),"")</f>
      </c>
      <c r="B198" s="4">
        <f>IF(A198="","",COUNTIF('Input Barang'!$B$2:$B$1000,A198))</f>
      </c>
      <c r="C198" s="4">
        <f>IF(A198="","",COUNTIF('Output Agus'!$B$2:$B$1000,A198))</f>
      </c>
      <c r="D198" s="4">
        <f>IF(A198="","",COUNTIF('Output Rexa'!$B$2:$B$1000,A198))</f>
      </c>
      <c r="E198" s="4">
        <f>IF(A198="","",B198-C198-D198)</f>
      </c>
    </row>
    <row r="199">
      <c r="A199" s="5">
        <f>IFERROR(INDEX('Input Barang'!$B$2:$B$1000,188),"")</f>
      </c>
      <c r="B199" s="4">
        <f>IF(A199="","",COUNTIF('Input Barang'!$B$2:$B$1000,A199))</f>
      </c>
      <c r="C199" s="4">
        <f>IF(A199="","",COUNTIF('Output Agus'!$B$2:$B$1000,A199))</f>
      </c>
      <c r="D199" s="4">
        <f>IF(A199="","",COUNTIF('Output Rexa'!$B$2:$B$1000,A199))</f>
      </c>
      <c r="E199" s="4">
        <f>IF(A199="","",B199-C199-D199)</f>
      </c>
    </row>
    <row r="200">
      <c r="A200" s="5">
        <f>IFERROR(INDEX('Input Barang'!$B$2:$B$1000,189),"")</f>
      </c>
      <c r="B200" s="4">
        <f>IF(A200="","",COUNTIF('Input Barang'!$B$2:$B$1000,A200))</f>
      </c>
      <c r="C200" s="4">
        <f>IF(A200="","",COUNTIF('Output Agus'!$B$2:$B$1000,A200))</f>
      </c>
      <c r="D200" s="4">
        <f>IF(A200="","",COUNTIF('Output Rexa'!$B$2:$B$1000,A200))</f>
      </c>
      <c r="E200" s="4">
        <f>IF(A200="","",B200-C200-D200)</f>
      </c>
    </row>
    <row r="201">
      <c r="A201" s="5">
        <f>IFERROR(INDEX('Input Barang'!$B$2:$B$1000,190),"")</f>
      </c>
      <c r="B201" s="4">
        <f>IF(A201="","",COUNTIF('Input Barang'!$B$2:$B$1000,A201))</f>
      </c>
      <c r="C201" s="4">
        <f>IF(A201="","",COUNTIF('Output Agus'!$B$2:$B$1000,A201))</f>
      </c>
      <c r="D201" s="4">
        <f>IF(A201="","",COUNTIF('Output Rexa'!$B$2:$B$1000,A201))</f>
      </c>
      <c r="E201" s="4">
        <f>IF(A201="","",B201-C201-D201)</f>
      </c>
    </row>
    <row r="202">
      <c r="A202" s="5">
        <f>IFERROR(INDEX('Input Barang'!$B$2:$B$1000,191),"")</f>
      </c>
      <c r="B202" s="4">
        <f>IF(A202="","",COUNTIF('Input Barang'!$B$2:$B$1000,A202))</f>
      </c>
      <c r="C202" s="4">
        <f>IF(A202="","",COUNTIF('Output Agus'!$B$2:$B$1000,A202))</f>
      </c>
      <c r="D202" s="4">
        <f>IF(A202="","",COUNTIF('Output Rexa'!$B$2:$B$1000,A202))</f>
      </c>
      <c r="E202" s="4">
        <f>IF(A202="","",B202-C202-D202)</f>
      </c>
    </row>
    <row r="203">
      <c r="A203" s="5">
        <f>IFERROR(INDEX('Input Barang'!$B$2:$B$1000,192),"")</f>
      </c>
      <c r="B203" s="4">
        <f>IF(A203="","",COUNTIF('Input Barang'!$B$2:$B$1000,A203))</f>
      </c>
      <c r="C203" s="4">
        <f>IF(A203="","",COUNTIF('Output Agus'!$B$2:$B$1000,A203))</f>
      </c>
      <c r="D203" s="4">
        <f>IF(A203="","",COUNTIF('Output Rexa'!$B$2:$B$1000,A203))</f>
      </c>
      <c r="E203" s="4">
        <f>IF(A203="","",B203-C203-D203)</f>
      </c>
    </row>
    <row r="204">
      <c r="A204" s="5">
        <f>IFERROR(INDEX('Input Barang'!$B$2:$B$1000,193),"")</f>
      </c>
      <c r="B204" s="4">
        <f>IF(A204="","",COUNTIF('Input Barang'!$B$2:$B$1000,A204))</f>
      </c>
      <c r="C204" s="4">
        <f>IF(A204="","",COUNTIF('Output Agus'!$B$2:$B$1000,A204))</f>
      </c>
      <c r="D204" s="4">
        <f>IF(A204="","",COUNTIF('Output Rexa'!$B$2:$B$1000,A204))</f>
      </c>
      <c r="E204" s="4">
        <f>IF(A204="","",B204-C204-D204)</f>
      </c>
    </row>
    <row r="205">
      <c r="A205" s="5">
        <f>IFERROR(INDEX('Input Barang'!$B$2:$B$1000,194),"")</f>
      </c>
      <c r="B205" s="4">
        <f>IF(A205="","",COUNTIF('Input Barang'!$B$2:$B$1000,A205))</f>
      </c>
      <c r="C205" s="4">
        <f>IF(A205="","",COUNTIF('Output Agus'!$B$2:$B$1000,A205))</f>
      </c>
      <c r="D205" s="4">
        <f>IF(A205="","",COUNTIF('Output Rexa'!$B$2:$B$1000,A205))</f>
      </c>
      <c r="E205" s="4">
        <f>IF(A205="","",B205-C205-D205)</f>
      </c>
    </row>
    <row r="206">
      <c r="A206" s="5">
        <f>IFERROR(INDEX('Input Barang'!$B$2:$B$1000,195),"")</f>
      </c>
      <c r="B206" s="4">
        <f>IF(A206="","",COUNTIF('Input Barang'!$B$2:$B$1000,A206))</f>
      </c>
      <c r="C206" s="4">
        <f>IF(A206="","",COUNTIF('Output Agus'!$B$2:$B$1000,A206))</f>
      </c>
      <c r="D206" s="4">
        <f>IF(A206="","",COUNTIF('Output Rexa'!$B$2:$B$1000,A206))</f>
      </c>
      <c r="E206" s="4">
        <f>IF(A206="","",B206-C206-D206)</f>
      </c>
    </row>
    <row r="207">
      <c r="A207" s="5">
        <f>IFERROR(INDEX('Input Barang'!$B$2:$B$1000,196),"")</f>
      </c>
      <c r="B207" s="4">
        <f>IF(A207="","",COUNTIF('Input Barang'!$B$2:$B$1000,A207))</f>
      </c>
      <c r="C207" s="4">
        <f>IF(A207="","",COUNTIF('Output Agus'!$B$2:$B$1000,A207))</f>
      </c>
      <c r="D207" s="4">
        <f>IF(A207="","",COUNTIF('Output Rexa'!$B$2:$B$1000,A207))</f>
      </c>
      <c r="E207" s="4">
        <f>IF(A207="","",B207-C207-D207)</f>
      </c>
    </row>
    <row r="208">
      <c r="A208" s="5">
        <f>IFERROR(INDEX('Input Barang'!$B$2:$B$1000,197),"")</f>
      </c>
      <c r="B208" s="4">
        <f>IF(A208="","",COUNTIF('Input Barang'!$B$2:$B$1000,A208))</f>
      </c>
      <c r="C208" s="4">
        <f>IF(A208="","",COUNTIF('Output Agus'!$B$2:$B$1000,A208))</f>
      </c>
      <c r="D208" s="4">
        <f>IF(A208="","",COUNTIF('Output Rexa'!$B$2:$B$1000,A208))</f>
      </c>
      <c r="E208" s="4">
        <f>IF(A208="","",B208-C208-D208)</f>
      </c>
    </row>
    <row r="209">
      <c r="A209" s="5">
        <f>IFERROR(INDEX('Input Barang'!$B$2:$B$1000,198),"")</f>
      </c>
      <c r="B209" s="4">
        <f>IF(A209="","",COUNTIF('Input Barang'!$B$2:$B$1000,A209))</f>
      </c>
      <c r="C209" s="4">
        <f>IF(A209="","",COUNTIF('Output Agus'!$B$2:$B$1000,A209))</f>
      </c>
      <c r="D209" s="4">
        <f>IF(A209="","",COUNTIF('Output Rexa'!$B$2:$B$1000,A209))</f>
      </c>
      <c r="E209" s="4">
        <f>IF(A209="","",B209-C209-D209)</f>
      </c>
    </row>
    <row r="210">
      <c r="A210" s="5">
        <f>IFERROR(INDEX('Input Barang'!$B$2:$B$1000,199),"")</f>
      </c>
      <c r="B210" s="4">
        <f>IF(A210="","",COUNTIF('Input Barang'!$B$2:$B$1000,A210))</f>
      </c>
      <c r="C210" s="4">
        <f>IF(A210="","",COUNTIF('Output Agus'!$B$2:$B$1000,A210))</f>
      </c>
      <c r="D210" s="4">
        <f>IF(A210="","",COUNTIF('Output Rexa'!$B$2:$B$1000,A210))</f>
      </c>
      <c r="E210" s="4">
        <f>IF(A210="","",B210-C210-D210)</f>
      </c>
    </row>
    <row r="211">
      <c r="A211" s="5">
        <f>IFERROR(INDEX('Input Barang'!$B$2:$B$1000,200),"")</f>
      </c>
      <c r="B211" s="4">
        <f>IF(A211="","",COUNTIF('Input Barang'!$B$2:$B$1000,A211))</f>
      </c>
      <c r="C211" s="4">
        <f>IF(A211="","",COUNTIF('Output Agus'!$B$2:$B$1000,A211))</f>
      </c>
      <c r="D211" s="4">
        <f>IF(A211="","",COUNTIF('Output Rexa'!$B$2:$B$1000,A211))</f>
      </c>
      <c r="E211" s="4">
        <f>IF(A211="","",B211-C211-D211)</f>
      </c>
    </row>
    <row r="212">
      <c r="A212" s="5">
        <f>IFERROR(INDEX('Input Barang'!$B$2:$B$1000,201),"")</f>
      </c>
      <c r="B212" s="4">
        <f>IF(A212="","",COUNTIF('Input Barang'!$B$2:$B$1000,A212))</f>
      </c>
      <c r="C212" s="4">
        <f>IF(A212="","",COUNTIF('Output Agus'!$B$2:$B$1000,A212))</f>
      </c>
      <c r="D212" s="4">
        <f>IF(A212="","",COUNTIF('Output Rexa'!$B$2:$B$1000,A212))</f>
      </c>
      <c r="E212" s="4">
        <f>IF(A212="","",B212-C212-D212)</f>
      </c>
    </row>
    <row r="213">
      <c r="A213" s="5">
        <f>IFERROR(INDEX('Input Barang'!$B$2:$B$1000,202),"")</f>
      </c>
      <c r="B213" s="4">
        <f>IF(A213="","",COUNTIF('Input Barang'!$B$2:$B$1000,A213))</f>
      </c>
      <c r="C213" s="4">
        <f>IF(A213="","",COUNTIF('Output Agus'!$B$2:$B$1000,A213))</f>
      </c>
      <c r="D213" s="4">
        <f>IF(A213="","",COUNTIF('Output Rexa'!$B$2:$B$1000,A213))</f>
      </c>
      <c r="E213" s="4">
        <f>IF(A213="","",B213-C213-D213)</f>
      </c>
    </row>
    <row r="214">
      <c r="A214" s="5">
        <f>IFERROR(INDEX('Input Barang'!$B$2:$B$1000,203),"")</f>
      </c>
      <c r="B214" s="4">
        <f>IF(A214="","",COUNTIF('Input Barang'!$B$2:$B$1000,A214))</f>
      </c>
      <c r="C214" s="4">
        <f>IF(A214="","",COUNTIF('Output Agus'!$B$2:$B$1000,A214))</f>
      </c>
      <c r="D214" s="4">
        <f>IF(A214="","",COUNTIF('Output Rexa'!$B$2:$B$1000,A214))</f>
      </c>
      <c r="E214" s="4">
        <f>IF(A214="","",B214-C214-D214)</f>
      </c>
    </row>
    <row r="215">
      <c r="A215" s="5">
        <f>IFERROR(INDEX('Input Barang'!$B$2:$B$1000,204),"")</f>
      </c>
      <c r="B215" s="4">
        <f>IF(A215="","",COUNTIF('Input Barang'!$B$2:$B$1000,A215))</f>
      </c>
      <c r="C215" s="4">
        <f>IF(A215="","",COUNTIF('Output Agus'!$B$2:$B$1000,A215))</f>
      </c>
      <c r="D215" s="4">
        <f>IF(A215="","",COUNTIF('Output Rexa'!$B$2:$B$1000,A215))</f>
      </c>
      <c r="E215" s="4">
        <f>IF(A215="","",B215-C215-D215)</f>
      </c>
    </row>
    <row r="216">
      <c r="A216" s="5">
        <f>IFERROR(INDEX('Input Barang'!$B$2:$B$1000,205),"")</f>
      </c>
      <c r="B216" s="4">
        <f>IF(A216="","",COUNTIF('Input Barang'!$B$2:$B$1000,A216))</f>
      </c>
      <c r="C216" s="4">
        <f>IF(A216="","",COUNTIF('Output Agus'!$B$2:$B$1000,A216))</f>
      </c>
      <c r="D216" s="4">
        <f>IF(A216="","",COUNTIF('Output Rexa'!$B$2:$B$1000,A216))</f>
      </c>
      <c r="E216" s="4">
        <f>IF(A216="","",B216-C216-D216)</f>
      </c>
    </row>
    <row r="217">
      <c r="A217" s="5">
        <f>IFERROR(INDEX('Input Barang'!$B$2:$B$1000,206),"")</f>
      </c>
      <c r="B217" s="4">
        <f>IF(A217="","",COUNTIF('Input Barang'!$B$2:$B$1000,A217))</f>
      </c>
      <c r="C217" s="4">
        <f>IF(A217="","",COUNTIF('Output Agus'!$B$2:$B$1000,A217))</f>
      </c>
      <c r="D217" s="4">
        <f>IF(A217="","",COUNTIF('Output Rexa'!$B$2:$B$1000,A217))</f>
      </c>
      <c r="E217" s="4">
        <f>IF(A217="","",B217-C217-D217)</f>
      </c>
    </row>
    <row r="218">
      <c r="A218" s="5">
        <f>IFERROR(INDEX('Input Barang'!$B$2:$B$1000,207),"")</f>
      </c>
      <c r="B218" s="4">
        <f>IF(A218="","",COUNTIF('Input Barang'!$B$2:$B$1000,A218))</f>
      </c>
      <c r="C218" s="4">
        <f>IF(A218="","",COUNTIF('Output Agus'!$B$2:$B$1000,A218))</f>
      </c>
      <c r="D218" s="4">
        <f>IF(A218="","",COUNTIF('Output Rexa'!$B$2:$B$1000,A218))</f>
      </c>
      <c r="E218" s="4">
        <f>IF(A218="","",B218-C218-D218)</f>
      </c>
    </row>
    <row r="219">
      <c r="A219" s="5">
        <f>IFERROR(INDEX('Input Barang'!$B$2:$B$1000,208),"")</f>
      </c>
      <c r="B219" s="4">
        <f>IF(A219="","",COUNTIF('Input Barang'!$B$2:$B$1000,A219))</f>
      </c>
      <c r="C219" s="4">
        <f>IF(A219="","",COUNTIF('Output Agus'!$B$2:$B$1000,A219))</f>
      </c>
      <c r="D219" s="4">
        <f>IF(A219="","",COUNTIF('Output Rexa'!$B$2:$B$1000,A219))</f>
      </c>
      <c r="E219" s="4">
        <f>IF(A219="","",B219-C219-D219)</f>
      </c>
    </row>
    <row r="220">
      <c r="A220" s="5">
        <f>IFERROR(INDEX('Input Barang'!$B$2:$B$1000,209),"")</f>
      </c>
      <c r="B220" s="4">
        <f>IF(A220="","",COUNTIF('Input Barang'!$B$2:$B$1000,A220))</f>
      </c>
      <c r="C220" s="4">
        <f>IF(A220="","",COUNTIF('Output Agus'!$B$2:$B$1000,A220))</f>
      </c>
      <c r="D220" s="4">
        <f>IF(A220="","",COUNTIF('Output Rexa'!$B$2:$B$1000,A220))</f>
      </c>
      <c r="E220" s="4">
        <f>IF(A220="","",B220-C220-D220)</f>
      </c>
    </row>
    <row r="221">
      <c r="A221" s="5">
        <f>IFERROR(INDEX('Input Barang'!$B$2:$B$1000,210),"")</f>
      </c>
      <c r="B221" s="4">
        <f>IF(A221="","",COUNTIF('Input Barang'!$B$2:$B$1000,A221))</f>
      </c>
      <c r="C221" s="4">
        <f>IF(A221="","",COUNTIF('Output Agus'!$B$2:$B$1000,A221))</f>
      </c>
      <c r="D221" s="4">
        <f>IF(A221="","",COUNTIF('Output Rexa'!$B$2:$B$1000,A221))</f>
      </c>
      <c r="E221" s="4">
        <f>IF(A221="","",B221-C221-D221)</f>
      </c>
    </row>
    <row r="222">
      <c r="A222" s="5">
        <f>IFERROR(INDEX('Input Barang'!$B$2:$B$1000,211),"")</f>
      </c>
      <c r="B222" s="4">
        <f>IF(A222="","",COUNTIF('Input Barang'!$B$2:$B$1000,A222))</f>
      </c>
      <c r="C222" s="4">
        <f>IF(A222="","",COUNTIF('Output Agus'!$B$2:$B$1000,A222))</f>
      </c>
      <c r="D222" s="4">
        <f>IF(A222="","",COUNTIF('Output Rexa'!$B$2:$B$1000,A222))</f>
      </c>
      <c r="E222" s="4">
        <f>IF(A222="","",B222-C222-D222)</f>
      </c>
    </row>
    <row r="223">
      <c r="A223" s="5">
        <f>IFERROR(INDEX('Input Barang'!$B$2:$B$1000,212),"")</f>
      </c>
      <c r="B223" s="4">
        <f>IF(A223="","",COUNTIF('Input Barang'!$B$2:$B$1000,A223))</f>
      </c>
      <c r="C223" s="4">
        <f>IF(A223="","",COUNTIF('Output Agus'!$B$2:$B$1000,A223))</f>
      </c>
      <c r="D223" s="4">
        <f>IF(A223="","",COUNTIF('Output Rexa'!$B$2:$B$1000,A223))</f>
      </c>
      <c r="E223" s="4">
        <f>IF(A223="","",B223-C223-D223)</f>
      </c>
    </row>
    <row r="224">
      <c r="A224" s="5">
        <f>IFERROR(INDEX('Input Barang'!$B$2:$B$1000,213),"")</f>
      </c>
      <c r="B224" s="4">
        <f>IF(A224="","",COUNTIF('Input Barang'!$B$2:$B$1000,A224))</f>
      </c>
      <c r="C224" s="4">
        <f>IF(A224="","",COUNTIF('Output Agus'!$B$2:$B$1000,A224))</f>
      </c>
      <c r="D224" s="4">
        <f>IF(A224="","",COUNTIF('Output Rexa'!$B$2:$B$1000,A224))</f>
      </c>
      <c r="E224" s="4">
        <f>IF(A224="","",B224-C224-D224)</f>
      </c>
    </row>
    <row r="225">
      <c r="A225" s="5">
        <f>IFERROR(INDEX('Input Barang'!$B$2:$B$1000,214),"")</f>
      </c>
      <c r="B225" s="4">
        <f>IF(A225="","",COUNTIF('Input Barang'!$B$2:$B$1000,A225))</f>
      </c>
      <c r="C225" s="4">
        <f>IF(A225="","",COUNTIF('Output Agus'!$B$2:$B$1000,A225))</f>
      </c>
      <c r="D225" s="4">
        <f>IF(A225="","",COUNTIF('Output Rexa'!$B$2:$B$1000,A225))</f>
      </c>
      <c r="E225" s="4">
        <f>IF(A225="","",B225-C225-D225)</f>
      </c>
    </row>
    <row r="226">
      <c r="A226" s="5">
        <f>IFERROR(INDEX('Input Barang'!$B$2:$B$1000,215),"")</f>
      </c>
      <c r="B226" s="4">
        <f>IF(A226="","",COUNTIF('Input Barang'!$B$2:$B$1000,A226))</f>
      </c>
      <c r="C226" s="4">
        <f>IF(A226="","",COUNTIF('Output Agus'!$B$2:$B$1000,A226))</f>
      </c>
      <c r="D226" s="4">
        <f>IF(A226="","",COUNTIF('Output Rexa'!$B$2:$B$1000,A226))</f>
      </c>
      <c r="E226" s="4">
        <f>IF(A226="","",B226-C226-D226)</f>
      </c>
    </row>
    <row r="227">
      <c r="A227" s="5">
        <f>IFERROR(INDEX('Input Barang'!$B$2:$B$1000,216),"")</f>
      </c>
      <c r="B227" s="4">
        <f>IF(A227="","",COUNTIF('Input Barang'!$B$2:$B$1000,A227))</f>
      </c>
      <c r="C227" s="4">
        <f>IF(A227="","",COUNTIF('Output Agus'!$B$2:$B$1000,A227))</f>
      </c>
      <c r="D227" s="4">
        <f>IF(A227="","",COUNTIF('Output Rexa'!$B$2:$B$1000,A227))</f>
      </c>
      <c r="E227" s="4">
        <f>IF(A227="","",B227-C227-D227)</f>
      </c>
    </row>
    <row r="228">
      <c r="A228" s="5">
        <f>IFERROR(INDEX('Input Barang'!$B$2:$B$1000,217),"")</f>
      </c>
      <c r="B228" s="4">
        <f>IF(A228="","",COUNTIF('Input Barang'!$B$2:$B$1000,A228))</f>
      </c>
      <c r="C228" s="4">
        <f>IF(A228="","",COUNTIF('Output Agus'!$B$2:$B$1000,A228))</f>
      </c>
      <c r="D228" s="4">
        <f>IF(A228="","",COUNTIF('Output Rexa'!$B$2:$B$1000,A228))</f>
      </c>
      <c r="E228" s="4">
        <f>IF(A228="","",B228-C228-D228)</f>
      </c>
    </row>
    <row r="229">
      <c r="A229" s="5">
        <f>IFERROR(INDEX('Input Barang'!$B$2:$B$1000,218),"")</f>
      </c>
      <c r="B229" s="4">
        <f>IF(A229="","",COUNTIF('Input Barang'!$B$2:$B$1000,A229))</f>
      </c>
      <c r="C229" s="4">
        <f>IF(A229="","",COUNTIF('Output Agus'!$B$2:$B$1000,A229))</f>
      </c>
      <c r="D229" s="4">
        <f>IF(A229="","",COUNTIF('Output Rexa'!$B$2:$B$1000,A229))</f>
      </c>
      <c r="E229" s="4">
        <f>IF(A229="","",B229-C229-D229)</f>
      </c>
    </row>
    <row r="230">
      <c r="A230" s="5">
        <f>IFERROR(INDEX('Input Barang'!$B$2:$B$1000,219),"")</f>
      </c>
      <c r="B230" s="4">
        <f>IF(A230="","",COUNTIF('Input Barang'!$B$2:$B$1000,A230))</f>
      </c>
      <c r="C230" s="4">
        <f>IF(A230="","",COUNTIF('Output Agus'!$B$2:$B$1000,A230))</f>
      </c>
      <c r="D230" s="4">
        <f>IF(A230="","",COUNTIF('Output Rexa'!$B$2:$B$1000,A230))</f>
      </c>
      <c r="E230" s="4">
        <f>IF(A230="","",B230-C230-D230)</f>
      </c>
    </row>
    <row r="231">
      <c r="A231" s="5">
        <f>IFERROR(INDEX('Input Barang'!$B$2:$B$1000,220),"")</f>
      </c>
      <c r="B231" s="4">
        <f>IF(A231="","",COUNTIF('Input Barang'!$B$2:$B$1000,A231))</f>
      </c>
      <c r="C231" s="4">
        <f>IF(A231="","",COUNTIF('Output Agus'!$B$2:$B$1000,A231))</f>
      </c>
      <c r="D231" s="4">
        <f>IF(A231="","",COUNTIF('Output Rexa'!$B$2:$B$1000,A231))</f>
      </c>
      <c r="E231" s="4">
        <f>IF(A231="","",B231-C231-D231)</f>
      </c>
    </row>
    <row r="232">
      <c r="A232" s="5">
        <f>IFERROR(INDEX('Input Barang'!$B$2:$B$1000,221),"")</f>
      </c>
      <c r="B232" s="4">
        <f>IF(A232="","",COUNTIF('Input Barang'!$B$2:$B$1000,A232))</f>
      </c>
      <c r="C232" s="4">
        <f>IF(A232="","",COUNTIF('Output Agus'!$B$2:$B$1000,A232))</f>
      </c>
      <c r="D232" s="4">
        <f>IF(A232="","",COUNTIF('Output Rexa'!$B$2:$B$1000,A232))</f>
      </c>
      <c r="E232" s="4">
        <f>IF(A232="","",B232-C232-D232)</f>
      </c>
    </row>
    <row r="233">
      <c r="A233" s="5">
        <f>IFERROR(INDEX('Input Barang'!$B$2:$B$1000,222),"")</f>
      </c>
      <c r="B233" s="4">
        <f>IF(A233="","",COUNTIF('Input Barang'!$B$2:$B$1000,A233))</f>
      </c>
      <c r="C233" s="4">
        <f>IF(A233="","",COUNTIF('Output Agus'!$B$2:$B$1000,A233))</f>
      </c>
      <c r="D233" s="4">
        <f>IF(A233="","",COUNTIF('Output Rexa'!$B$2:$B$1000,A233))</f>
      </c>
      <c r="E233" s="4">
        <f>IF(A233="","",B233-C233-D233)</f>
      </c>
    </row>
    <row r="234">
      <c r="A234" s="5">
        <f>IFERROR(INDEX('Input Barang'!$B$2:$B$1000,223),"")</f>
      </c>
      <c r="B234" s="4">
        <f>IF(A234="","",COUNTIF('Input Barang'!$B$2:$B$1000,A234))</f>
      </c>
      <c r="C234" s="4">
        <f>IF(A234="","",COUNTIF('Output Agus'!$B$2:$B$1000,A234))</f>
      </c>
      <c r="D234" s="4">
        <f>IF(A234="","",COUNTIF('Output Rexa'!$B$2:$B$1000,A234))</f>
      </c>
      <c r="E234" s="4">
        <f>IF(A234="","",B234-C234-D234)</f>
      </c>
    </row>
    <row r="235">
      <c r="A235" s="5">
        <f>IFERROR(INDEX('Input Barang'!$B$2:$B$1000,224),"")</f>
      </c>
      <c r="B235" s="4">
        <f>IF(A235="","",COUNTIF('Input Barang'!$B$2:$B$1000,A235))</f>
      </c>
      <c r="C235" s="4">
        <f>IF(A235="","",COUNTIF('Output Agus'!$B$2:$B$1000,A235))</f>
      </c>
      <c r="D235" s="4">
        <f>IF(A235="","",COUNTIF('Output Rexa'!$B$2:$B$1000,A235))</f>
      </c>
      <c r="E235" s="4">
        <f>IF(A235="","",B235-C235-D235)</f>
      </c>
    </row>
    <row r="236">
      <c r="A236" s="5">
        <f>IFERROR(INDEX('Input Barang'!$B$2:$B$1000,225),"")</f>
      </c>
      <c r="B236" s="4">
        <f>IF(A236="","",COUNTIF('Input Barang'!$B$2:$B$1000,A236))</f>
      </c>
      <c r="C236" s="4">
        <f>IF(A236="","",COUNTIF('Output Agus'!$B$2:$B$1000,A236))</f>
      </c>
      <c r="D236" s="4">
        <f>IF(A236="","",COUNTIF('Output Rexa'!$B$2:$B$1000,A236))</f>
      </c>
      <c r="E236" s="4">
        <f>IF(A236="","",B236-C236-D236)</f>
      </c>
    </row>
    <row r="237">
      <c r="A237" s="5">
        <f>IFERROR(INDEX('Input Barang'!$B$2:$B$1000,226),"")</f>
      </c>
      <c r="B237" s="4">
        <f>IF(A237="","",COUNTIF('Input Barang'!$B$2:$B$1000,A237))</f>
      </c>
      <c r="C237" s="4">
        <f>IF(A237="","",COUNTIF('Output Agus'!$B$2:$B$1000,A237))</f>
      </c>
      <c r="D237" s="4">
        <f>IF(A237="","",COUNTIF('Output Rexa'!$B$2:$B$1000,A237))</f>
      </c>
      <c r="E237" s="4">
        <f>IF(A237="","",B237-C237-D237)</f>
      </c>
    </row>
    <row r="238">
      <c r="A238" s="5">
        <f>IFERROR(INDEX('Input Barang'!$B$2:$B$1000,227),"")</f>
      </c>
      <c r="B238" s="4">
        <f>IF(A238="","",COUNTIF('Input Barang'!$B$2:$B$1000,A238))</f>
      </c>
      <c r="C238" s="4">
        <f>IF(A238="","",COUNTIF('Output Agus'!$B$2:$B$1000,A238))</f>
      </c>
      <c r="D238" s="4">
        <f>IF(A238="","",COUNTIF('Output Rexa'!$B$2:$B$1000,A238))</f>
      </c>
      <c r="E238" s="4">
        <f>IF(A238="","",B238-C238-D238)</f>
      </c>
    </row>
    <row r="239">
      <c r="A239" s="5">
        <f>IFERROR(INDEX('Input Barang'!$B$2:$B$1000,228),"")</f>
      </c>
      <c r="B239" s="4">
        <f>IF(A239="","",COUNTIF('Input Barang'!$B$2:$B$1000,A239))</f>
      </c>
      <c r="C239" s="4">
        <f>IF(A239="","",COUNTIF('Output Agus'!$B$2:$B$1000,A239))</f>
      </c>
      <c r="D239" s="4">
        <f>IF(A239="","",COUNTIF('Output Rexa'!$B$2:$B$1000,A239))</f>
      </c>
      <c r="E239" s="4">
        <f>IF(A239="","",B239-C239-D239)</f>
      </c>
    </row>
    <row r="240">
      <c r="A240" s="5">
        <f>IFERROR(INDEX('Input Barang'!$B$2:$B$1000,229),"")</f>
      </c>
      <c r="B240" s="4">
        <f>IF(A240="","",COUNTIF('Input Barang'!$B$2:$B$1000,A240))</f>
      </c>
      <c r="C240" s="4">
        <f>IF(A240="","",COUNTIF('Output Agus'!$B$2:$B$1000,A240))</f>
      </c>
      <c r="D240" s="4">
        <f>IF(A240="","",COUNTIF('Output Rexa'!$B$2:$B$1000,A240))</f>
      </c>
      <c r="E240" s="4">
        <f>IF(A240="","",B240-C240-D240)</f>
      </c>
    </row>
    <row r="241">
      <c r="A241" s="5">
        <f>IFERROR(INDEX('Input Barang'!$B$2:$B$1000,230),"")</f>
      </c>
      <c r="B241" s="4">
        <f>IF(A241="","",COUNTIF('Input Barang'!$B$2:$B$1000,A241))</f>
      </c>
      <c r="C241" s="4">
        <f>IF(A241="","",COUNTIF('Output Agus'!$B$2:$B$1000,A241))</f>
      </c>
      <c r="D241" s="4">
        <f>IF(A241="","",COUNTIF('Output Rexa'!$B$2:$B$1000,A241))</f>
      </c>
      <c r="E241" s="4">
        <f>IF(A241="","",B241-C241-D241)</f>
      </c>
    </row>
    <row r="242">
      <c r="A242" s="5">
        <f>IFERROR(INDEX('Input Barang'!$B$2:$B$1000,231),"")</f>
      </c>
      <c r="B242" s="4">
        <f>IF(A242="","",COUNTIF('Input Barang'!$B$2:$B$1000,A242))</f>
      </c>
      <c r="C242" s="4">
        <f>IF(A242="","",COUNTIF('Output Agus'!$B$2:$B$1000,A242))</f>
      </c>
      <c r="D242" s="4">
        <f>IF(A242="","",COUNTIF('Output Rexa'!$B$2:$B$1000,A242))</f>
      </c>
      <c r="E242" s="4">
        <f>IF(A242="","",B242-C242-D242)</f>
      </c>
    </row>
    <row r="243">
      <c r="A243" s="5">
        <f>IFERROR(INDEX('Input Barang'!$B$2:$B$1000,232),"")</f>
      </c>
      <c r="B243" s="4">
        <f>IF(A243="","",COUNTIF('Input Barang'!$B$2:$B$1000,A243))</f>
      </c>
      <c r="C243" s="4">
        <f>IF(A243="","",COUNTIF('Output Agus'!$B$2:$B$1000,A243))</f>
      </c>
      <c r="D243" s="4">
        <f>IF(A243="","",COUNTIF('Output Rexa'!$B$2:$B$1000,A243))</f>
      </c>
      <c r="E243" s="4">
        <f>IF(A243="","",B243-C243-D243)</f>
      </c>
    </row>
    <row r="244">
      <c r="A244" s="5">
        <f>IFERROR(INDEX('Input Barang'!$B$2:$B$1000,233),"")</f>
      </c>
      <c r="B244" s="4">
        <f>IF(A244="","",COUNTIF('Input Barang'!$B$2:$B$1000,A244))</f>
      </c>
      <c r="C244" s="4">
        <f>IF(A244="","",COUNTIF('Output Agus'!$B$2:$B$1000,A244))</f>
      </c>
      <c r="D244" s="4">
        <f>IF(A244="","",COUNTIF('Output Rexa'!$B$2:$B$1000,A244))</f>
      </c>
      <c r="E244" s="4">
        <f>IF(A244="","",B244-C244-D244)</f>
      </c>
    </row>
    <row r="245">
      <c r="A245" s="5">
        <f>IFERROR(INDEX('Input Barang'!$B$2:$B$1000,234),"")</f>
      </c>
      <c r="B245" s="4">
        <f>IF(A245="","",COUNTIF('Input Barang'!$B$2:$B$1000,A245))</f>
      </c>
      <c r="C245" s="4">
        <f>IF(A245="","",COUNTIF('Output Agus'!$B$2:$B$1000,A245))</f>
      </c>
      <c r="D245" s="4">
        <f>IF(A245="","",COUNTIF('Output Rexa'!$B$2:$B$1000,A245))</f>
      </c>
      <c r="E245" s="4">
        <f>IF(A245="","",B245-C245-D245)</f>
      </c>
    </row>
    <row r="246">
      <c r="A246" s="5">
        <f>IFERROR(INDEX('Input Barang'!$B$2:$B$1000,235),"")</f>
      </c>
      <c r="B246" s="4">
        <f>IF(A246="","",COUNTIF('Input Barang'!$B$2:$B$1000,A246))</f>
      </c>
      <c r="C246" s="4">
        <f>IF(A246="","",COUNTIF('Output Agus'!$B$2:$B$1000,A246))</f>
      </c>
      <c r="D246" s="4">
        <f>IF(A246="","",COUNTIF('Output Rexa'!$B$2:$B$1000,A246))</f>
      </c>
      <c r="E246" s="4">
        <f>IF(A246="","",B246-C246-D246)</f>
      </c>
    </row>
    <row r="247">
      <c r="A247" s="5">
        <f>IFERROR(INDEX('Input Barang'!$B$2:$B$1000,236),"")</f>
      </c>
      <c r="B247" s="4">
        <f>IF(A247="","",COUNTIF('Input Barang'!$B$2:$B$1000,A247))</f>
      </c>
      <c r="C247" s="4">
        <f>IF(A247="","",COUNTIF('Output Agus'!$B$2:$B$1000,A247))</f>
      </c>
      <c r="D247" s="4">
        <f>IF(A247="","",COUNTIF('Output Rexa'!$B$2:$B$1000,A247))</f>
      </c>
      <c r="E247" s="4">
        <f>IF(A247="","",B247-C247-D247)</f>
      </c>
    </row>
    <row r="248">
      <c r="A248" s="5">
        <f>IFERROR(INDEX('Input Barang'!$B$2:$B$1000,237),"")</f>
      </c>
      <c r="B248" s="4">
        <f>IF(A248="","",COUNTIF('Input Barang'!$B$2:$B$1000,A248))</f>
      </c>
      <c r="C248" s="4">
        <f>IF(A248="","",COUNTIF('Output Agus'!$B$2:$B$1000,A248))</f>
      </c>
      <c r="D248" s="4">
        <f>IF(A248="","",COUNTIF('Output Rexa'!$B$2:$B$1000,A248))</f>
      </c>
      <c r="E248" s="4">
        <f>IF(A248="","",B248-C248-D248)</f>
      </c>
    </row>
    <row r="249">
      <c r="A249" s="5">
        <f>IFERROR(INDEX('Input Barang'!$B$2:$B$1000,238),"")</f>
      </c>
      <c r="B249" s="4">
        <f>IF(A249="","",COUNTIF('Input Barang'!$B$2:$B$1000,A249))</f>
      </c>
      <c r="C249" s="4">
        <f>IF(A249="","",COUNTIF('Output Agus'!$B$2:$B$1000,A249))</f>
      </c>
      <c r="D249" s="4">
        <f>IF(A249="","",COUNTIF('Output Rexa'!$B$2:$B$1000,A249))</f>
      </c>
      <c r="E249" s="4">
        <f>IF(A249="","",B249-C249-D249)</f>
      </c>
    </row>
    <row r="250">
      <c r="A250" s="5">
        <f>IFERROR(INDEX('Input Barang'!$B$2:$B$1000,239),"")</f>
      </c>
      <c r="B250" s="4">
        <f>IF(A250="","",COUNTIF('Input Barang'!$B$2:$B$1000,A250))</f>
      </c>
      <c r="C250" s="4">
        <f>IF(A250="","",COUNTIF('Output Agus'!$B$2:$B$1000,A250))</f>
      </c>
      <c r="D250" s="4">
        <f>IF(A250="","",COUNTIF('Output Rexa'!$B$2:$B$1000,A250))</f>
      </c>
      <c r="E250" s="4">
        <f>IF(A250="","",B250-C250-D250)</f>
      </c>
    </row>
    <row r="251">
      <c r="A251" s="5">
        <f>IFERROR(INDEX('Input Barang'!$B$2:$B$1000,240),"")</f>
      </c>
      <c r="B251" s="4">
        <f>IF(A251="","",COUNTIF('Input Barang'!$B$2:$B$1000,A251))</f>
      </c>
      <c r="C251" s="4">
        <f>IF(A251="","",COUNTIF('Output Agus'!$B$2:$B$1000,A251))</f>
      </c>
      <c r="D251" s="4">
        <f>IF(A251="","",COUNTIF('Output Rexa'!$B$2:$B$1000,A251))</f>
      </c>
      <c r="E251" s="4">
        <f>IF(A251="","",B251-C251-D251)</f>
      </c>
    </row>
    <row r="252">
      <c r="A252" s="5">
        <f>IFERROR(INDEX('Input Barang'!$B$2:$B$1000,241),"")</f>
      </c>
      <c r="B252" s="4">
        <f>IF(A252="","",COUNTIF('Input Barang'!$B$2:$B$1000,A252))</f>
      </c>
      <c r="C252" s="4">
        <f>IF(A252="","",COUNTIF('Output Agus'!$B$2:$B$1000,A252))</f>
      </c>
      <c r="D252" s="4">
        <f>IF(A252="","",COUNTIF('Output Rexa'!$B$2:$B$1000,A252))</f>
      </c>
      <c r="E252" s="4">
        <f>IF(A252="","",B252-C252-D252)</f>
      </c>
    </row>
    <row r="253">
      <c r="A253" s="5">
        <f>IFERROR(INDEX('Input Barang'!$B$2:$B$1000,242),"")</f>
      </c>
      <c r="B253" s="4">
        <f>IF(A253="","",COUNTIF('Input Barang'!$B$2:$B$1000,A253))</f>
      </c>
      <c r="C253" s="4">
        <f>IF(A253="","",COUNTIF('Output Agus'!$B$2:$B$1000,A253))</f>
      </c>
      <c r="D253" s="4">
        <f>IF(A253="","",COUNTIF('Output Rexa'!$B$2:$B$1000,A253))</f>
      </c>
      <c r="E253" s="4">
        <f>IF(A253="","",B253-C253-D253)</f>
      </c>
    </row>
    <row r="254">
      <c r="A254" s="5">
        <f>IFERROR(INDEX('Input Barang'!$B$2:$B$1000,243),"")</f>
      </c>
      <c r="B254" s="4">
        <f>IF(A254="","",COUNTIF('Input Barang'!$B$2:$B$1000,A254))</f>
      </c>
      <c r="C254" s="4">
        <f>IF(A254="","",COUNTIF('Output Agus'!$B$2:$B$1000,A254))</f>
      </c>
      <c r="D254" s="4">
        <f>IF(A254="","",COUNTIF('Output Rexa'!$B$2:$B$1000,A254))</f>
      </c>
      <c r="E254" s="4">
        <f>IF(A254="","",B254-C254-D254)</f>
      </c>
    </row>
    <row r="255">
      <c r="A255" s="5">
        <f>IFERROR(INDEX('Input Barang'!$B$2:$B$1000,244),"")</f>
      </c>
      <c r="B255" s="4">
        <f>IF(A255="","",COUNTIF('Input Barang'!$B$2:$B$1000,A255))</f>
      </c>
      <c r="C255" s="4">
        <f>IF(A255="","",COUNTIF('Output Agus'!$B$2:$B$1000,A255))</f>
      </c>
      <c r="D255" s="4">
        <f>IF(A255="","",COUNTIF('Output Rexa'!$B$2:$B$1000,A255))</f>
      </c>
      <c r="E255" s="4">
        <f>IF(A255="","",B255-C255-D255)</f>
      </c>
    </row>
    <row r="256">
      <c r="A256" s="5">
        <f>IFERROR(INDEX('Input Barang'!$B$2:$B$1000,245),"")</f>
      </c>
      <c r="B256" s="4">
        <f>IF(A256="","",COUNTIF('Input Barang'!$B$2:$B$1000,A256))</f>
      </c>
      <c r="C256" s="4">
        <f>IF(A256="","",COUNTIF('Output Agus'!$B$2:$B$1000,A256))</f>
      </c>
      <c r="D256" s="4">
        <f>IF(A256="","",COUNTIF('Output Rexa'!$B$2:$B$1000,A256))</f>
      </c>
      <c r="E256" s="4">
        <f>IF(A256="","",B256-C256-D256)</f>
      </c>
    </row>
    <row r="257">
      <c r="A257" s="5">
        <f>IFERROR(INDEX('Input Barang'!$B$2:$B$1000,246),"")</f>
      </c>
      <c r="B257" s="4">
        <f>IF(A257="","",COUNTIF('Input Barang'!$B$2:$B$1000,A257))</f>
      </c>
      <c r="C257" s="4">
        <f>IF(A257="","",COUNTIF('Output Agus'!$B$2:$B$1000,A257))</f>
      </c>
      <c r="D257" s="4">
        <f>IF(A257="","",COUNTIF('Output Rexa'!$B$2:$B$1000,A257))</f>
      </c>
      <c r="E257" s="4">
        <f>IF(A257="","",B257-C257-D257)</f>
      </c>
    </row>
    <row r="258">
      <c r="A258" s="5">
        <f>IFERROR(INDEX('Input Barang'!$B$2:$B$1000,247),"")</f>
      </c>
      <c r="B258" s="4">
        <f>IF(A258="","",COUNTIF('Input Barang'!$B$2:$B$1000,A258))</f>
      </c>
      <c r="C258" s="4">
        <f>IF(A258="","",COUNTIF('Output Agus'!$B$2:$B$1000,A258))</f>
      </c>
      <c r="D258" s="4">
        <f>IF(A258="","",COUNTIF('Output Rexa'!$B$2:$B$1000,A258))</f>
      </c>
      <c r="E258" s="4">
        <f>IF(A258="","",B258-C258-D258)</f>
      </c>
    </row>
    <row r="259">
      <c r="A259" s="5">
        <f>IFERROR(INDEX('Input Barang'!$B$2:$B$1000,248),"")</f>
      </c>
      <c r="B259" s="4">
        <f>IF(A259="","",COUNTIF('Input Barang'!$B$2:$B$1000,A259))</f>
      </c>
      <c r="C259" s="4">
        <f>IF(A259="","",COUNTIF('Output Agus'!$B$2:$B$1000,A259))</f>
      </c>
      <c r="D259" s="4">
        <f>IF(A259="","",COUNTIF('Output Rexa'!$B$2:$B$1000,A259))</f>
      </c>
      <c r="E259" s="4">
        <f>IF(A259="","",B259-C259-D259)</f>
      </c>
    </row>
    <row r="260">
      <c r="A260" s="5">
        <f>IFERROR(INDEX('Input Barang'!$B$2:$B$1000,249),"")</f>
      </c>
      <c r="B260" s="4">
        <f>IF(A260="","",COUNTIF('Input Barang'!$B$2:$B$1000,A260))</f>
      </c>
      <c r="C260" s="4">
        <f>IF(A260="","",COUNTIF('Output Agus'!$B$2:$B$1000,A260))</f>
      </c>
      <c r="D260" s="4">
        <f>IF(A260="","",COUNTIF('Output Rexa'!$B$2:$B$1000,A260))</f>
      </c>
      <c r="E260" s="4">
        <f>IF(A260="","",B260-C260-D260)</f>
      </c>
    </row>
    <row r="261">
      <c r="A261" s="5">
        <f>IFERROR(INDEX('Input Barang'!$B$2:$B$1000,250),"")</f>
      </c>
      <c r="B261" s="4">
        <f>IF(A261="","",COUNTIF('Input Barang'!$B$2:$B$1000,A261))</f>
      </c>
      <c r="C261" s="4">
        <f>IF(A261="","",COUNTIF('Output Agus'!$B$2:$B$1000,A261))</f>
      </c>
      <c r="D261" s="4">
        <f>IF(A261="","",COUNTIF('Output Rexa'!$B$2:$B$1000,A261))</f>
      </c>
      <c r="E261" s="4">
        <f>IF(A261="","",B261-C261-D261)</f>
      </c>
    </row>
    <row r="262">
      <c r="A262" s="5">
        <f>IFERROR(INDEX('Input Barang'!$B$2:$B$1000,251),"")</f>
      </c>
      <c r="B262" s="4">
        <f>IF(A262="","",COUNTIF('Input Barang'!$B$2:$B$1000,A262))</f>
      </c>
      <c r="C262" s="4">
        <f>IF(A262="","",COUNTIF('Output Agus'!$B$2:$B$1000,A262))</f>
      </c>
      <c r="D262" s="4">
        <f>IF(A262="","",COUNTIF('Output Rexa'!$B$2:$B$1000,A262))</f>
      </c>
      <c r="E262" s="4">
        <f>IF(A262="","",B262-C262-D262)</f>
      </c>
    </row>
    <row r="263">
      <c r="A263" s="5">
        <f>IFERROR(INDEX('Input Barang'!$B$2:$B$1000,252),"")</f>
      </c>
      <c r="B263" s="4">
        <f>IF(A263="","",COUNTIF('Input Barang'!$B$2:$B$1000,A263))</f>
      </c>
      <c r="C263" s="4">
        <f>IF(A263="","",COUNTIF('Output Agus'!$B$2:$B$1000,A263))</f>
      </c>
      <c r="D263" s="4">
        <f>IF(A263="","",COUNTIF('Output Rexa'!$B$2:$B$1000,A263))</f>
      </c>
      <c r="E263" s="4">
        <f>IF(A263="","",B263-C263-D263)</f>
      </c>
    </row>
    <row r="264">
      <c r="A264" s="5">
        <f>IFERROR(INDEX('Input Barang'!$B$2:$B$1000,253),"")</f>
      </c>
      <c r="B264" s="4">
        <f>IF(A264="","",COUNTIF('Input Barang'!$B$2:$B$1000,A264))</f>
      </c>
      <c r="C264" s="4">
        <f>IF(A264="","",COUNTIF('Output Agus'!$B$2:$B$1000,A264))</f>
      </c>
      <c r="D264" s="4">
        <f>IF(A264="","",COUNTIF('Output Rexa'!$B$2:$B$1000,A264))</f>
      </c>
      <c r="E264" s="4">
        <f>IF(A264="","",B264-C264-D264)</f>
      </c>
    </row>
    <row r="265">
      <c r="A265" s="5">
        <f>IFERROR(INDEX('Input Barang'!$B$2:$B$1000,254),"")</f>
      </c>
      <c r="B265" s="4">
        <f>IF(A265="","",COUNTIF('Input Barang'!$B$2:$B$1000,A265))</f>
      </c>
      <c r="C265" s="4">
        <f>IF(A265="","",COUNTIF('Output Agus'!$B$2:$B$1000,A265))</f>
      </c>
      <c r="D265" s="4">
        <f>IF(A265="","",COUNTIF('Output Rexa'!$B$2:$B$1000,A265))</f>
      </c>
      <c r="E265" s="4">
        <f>IF(A265="","",B265-C265-D265)</f>
      </c>
    </row>
    <row r="266">
      <c r="A266" s="5">
        <f>IFERROR(INDEX('Input Barang'!$B$2:$B$1000,255),"")</f>
      </c>
      <c r="B266" s="4">
        <f>IF(A266="","",COUNTIF('Input Barang'!$B$2:$B$1000,A266))</f>
      </c>
      <c r="C266" s="4">
        <f>IF(A266="","",COUNTIF('Output Agus'!$B$2:$B$1000,A266))</f>
      </c>
      <c r="D266" s="4">
        <f>IF(A266="","",COUNTIF('Output Rexa'!$B$2:$B$1000,A266))</f>
      </c>
      <c r="E266" s="4">
        <f>IF(A266="","",B266-C266-D266)</f>
      </c>
    </row>
    <row r="267">
      <c r="A267" s="5">
        <f>IFERROR(INDEX('Input Barang'!$B$2:$B$1000,256),"")</f>
      </c>
      <c r="B267" s="4">
        <f>IF(A267="","",COUNTIF('Input Barang'!$B$2:$B$1000,A267))</f>
      </c>
      <c r="C267" s="4">
        <f>IF(A267="","",COUNTIF('Output Agus'!$B$2:$B$1000,A267))</f>
      </c>
      <c r="D267" s="4">
        <f>IF(A267="","",COUNTIF('Output Rexa'!$B$2:$B$1000,A267))</f>
      </c>
      <c r="E267" s="4">
        <f>IF(A267="","",B267-C267-D267)</f>
      </c>
    </row>
    <row r="268">
      <c r="A268" s="5">
        <f>IFERROR(INDEX('Input Barang'!$B$2:$B$1000,257),"")</f>
      </c>
      <c r="B268" s="4">
        <f>IF(A268="","",COUNTIF('Input Barang'!$B$2:$B$1000,A268))</f>
      </c>
      <c r="C268" s="4">
        <f>IF(A268="","",COUNTIF('Output Agus'!$B$2:$B$1000,A268))</f>
      </c>
      <c r="D268" s="4">
        <f>IF(A268="","",COUNTIF('Output Rexa'!$B$2:$B$1000,A268))</f>
      </c>
      <c r="E268" s="4">
        <f>IF(A268="","",B268-C268-D268)</f>
      </c>
    </row>
    <row r="269">
      <c r="A269" s="5">
        <f>IFERROR(INDEX('Input Barang'!$B$2:$B$1000,258),"")</f>
      </c>
      <c r="B269" s="4">
        <f>IF(A269="","",COUNTIF('Input Barang'!$B$2:$B$1000,A269))</f>
      </c>
      <c r="C269" s="4">
        <f>IF(A269="","",COUNTIF('Output Agus'!$B$2:$B$1000,A269))</f>
      </c>
      <c r="D269" s="4">
        <f>IF(A269="","",COUNTIF('Output Rexa'!$B$2:$B$1000,A269))</f>
      </c>
      <c r="E269" s="4">
        <f>IF(A269="","",B269-C269-D269)</f>
      </c>
    </row>
    <row r="270">
      <c r="A270" s="5">
        <f>IFERROR(INDEX('Input Barang'!$B$2:$B$1000,259),"")</f>
      </c>
      <c r="B270" s="4">
        <f>IF(A270="","",COUNTIF('Input Barang'!$B$2:$B$1000,A270))</f>
      </c>
      <c r="C270" s="4">
        <f>IF(A270="","",COUNTIF('Output Agus'!$B$2:$B$1000,A270))</f>
      </c>
      <c r="D270" s="4">
        <f>IF(A270="","",COUNTIF('Output Rexa'!$B$2:$B$1000,A270))</f>
      </c>
      <c r="E270" s="4">
        <f>IF(A270="","",B270-C270-D270)</f>
      </c>
    </row>
    <row r="271">
      <c r="A271" s="5">
        <f>IFERROR(INDEX('Input Barang'!$B$2:$B$1000,260),"")</f>
      </c>
      <c r="B271" s="4">
        <f>IF(A271="","",COUNTIF('Input Barang'!$B$2:$B$1000,A271))</f>
      </c>
      <c r="C271" s="4">
        <f>IF(A271="","",COUNTIF('Output Agus'!$B$2:$B$1000,A271))</f>
      </c>
      <c r="D271" s="4">
        <f>IF(A271="","",COUNTIF('Output Rexa'!$B$2:$B$1000,A271))</f>
      </c>
      <c r="E271" s="4">
        <f>IF(A271="","",B271-C271-D271)</f>
      </c>
    </row>
    <row r="272">
      <c r="A272" s="5">
        <f>IFERROR(INDEX('Input Barang'!$B$2:$B$1000,261),"")</f>
      </c>
      <c r="B272" s="4">
        <f>IF(A272="","",COUNTIF('Input Barang'!$B$2:$B$1000,A272))</f>
      </c>
      <c r="C272" s="4">
        <f>IF(A272="","",COUNTIF('Output Agus'!$B$2:$B$1000,A272))</f>
      </c>
      <c r="D272" s="4">
        <f>IF(A272="","",COUNTIF('Output Rexa'!$B$2:$B$1000,A272))</f>
      </c>
      <c r="E272" s="4">
        <f>IF(A272="","",B272-C272-D272)</f>
      </c>
    </row>
    <row r="273">
      <c r="A273" s="5">
        <f>IFERROR(INDEX('Input Barang'!$B$2:$B$1000,262),"")</f>
      </c>
      <c r="B273" s="4">
        <f>IF(A273="","",COUNTIF('Input Barang'!$B$2:$B$1000,A273))</f>
      </c>
      <c r="C273" s="4">
        <f>IF(A273="","",COUNTIF('Output Agus'!$B$2:$B$1000,A273))</f>
      </c>
      <c r="D273" s="4">
        <f>IF(A273="","",COUNTIF('Output Rexa'!$B$2:$B$1000,A273))</f>
      </c>
      <c r="E273" s="4">
        <f>IF(A273="","",B273-C273-D273)</f>
      </c>
    </row>
    <row r="274">
      <c r="A274" s="5">
        <f>IFERROR(INDEX('Input Barang'!$B$2:$B$1000,263),"")</f>
      </c>
      <c r="B274" s="4">
        <f>IF(A274="","",COUNTIF('Input Barang'!$B$2:$B$1000,A274))</f>
      </c>
      <c r="C274" s="4">
        <f>IF(A274="","",COUNTIF('Output Agus'!$B$2:$B$1000,A274))</f>
      </c>
      <c r="D274" s="4">
        <f>IF(A274="","",COUNTIF('Output Rexa'!$B$2:$B$1000,A274))</f>
      </c>
      <c r="E274" s="4">
        <f>IF(A274="","",B274-C274-D274)</f>
      </c>
    </row>
    <row r="275">
      <c r="A275" s="5">
        <f>IFERROR(INDEX('Input Barang'!$B$2:$B$1000,264),"")</f>
      </c>
      <c r="B275" s="4">
        <f>IF(A275="","",COUNTIF('Input Barang'!$B$2:$B$1000,A275))</f>
      </c>
      <c r="C275" s="4">
        <f>IF(A275="","",COUNTIF('Output Agus'!$B$2:$B$1000,A275))</f>
      </c>
      <c r="D275" s="4">
        <f>IF(A275="","",COUNTIF('Output Rexa'!$B$2:$B$1000,A275))</f>
      </c>
      <c r="E275" s="4">
        <f>IF(A275="","",B275-C275-D275)</f>
      </c>
    </row>
    <row r="276">
      <c r="A276" s="5">
        <f>IFERROR(INDEX('Input Barang'!$B$2:$B$1000,265),"")</f>
      </c>
      <c r="B276" s="4">
        <f>IF(A276="","",COUNTIF('Input Barang'!$B$2:$B$1000,A276))</f>
      </c>
      <c r="C276" s="4">
        <f>IF(A276="","",COUNTIF('Output Agus'!$B$2:$B$1000,A276))</f>
      </c>
      <c r="D276" s="4">
        <f>IF(A276="","",COUNTIF('Output Rexa'!$B$2:$B$1000,A276))</f>
      </c>
      <c r="E276" s="4">
        <f>IF(A276="","",B276-C276-D276)</f>
      </c>
    </row>
    <row r="277">
      <c r="A277" s="5">
        <f>IFERROR(INDEX('Input Barang'!$B$2:$B$1000,266),"")</f>
      </c>
      <c r="B277" s="4">
        <f>IF(A277="","",COUNTIF('Input Barang'!$B$2:$B$1000,A277))</f>
      </c>
      <c r="C277" s="4">
        <f>IF(A277="","",COUNTIF('Output Agus'!$B$2:$B$1000,A277))</f>
      </c>
      <c r="D277" s="4">
        <f>IF(A277="","",COUNTIF('Output Rexa'!$B$2:$B$1000,A277))</f>
      </c>
      <c r="E277" s="4">
        <f>IF(A277="","",B277-C277-D277)</f>
      </c>
    </row>
    <row r="278">
      <c r="A278" s="5">
        <f>IFERROR(INDEX('Input Barang'!$B$2:$B$1000,267),"")</f>
      </c>
      <c r="B278" s="4">
        <f>IF(A278="","",COUNTIF('Input Barang'!$B$2:$B$1000,A278))</f>
      </c>
      <c r="C278" s="4">
        <f>IF(A278="","",COUNTIF('Output Agus'!$B$2:$B$1000,A278))</f>
      </c>
      <c r="D278" s="4">
        <f>IF(A278="","",COUNTIF('Output Rexa'!$B$2:$B$1000,A278))</f>
      </c>
      <c r="E278" s="4">
        <f>IF(A278="","",B278-C278-D278)</f>
      </c>
    </row>
    <row r="279">
      <c r="A279" s="5">
        <f>IFERROR(INDEX('Input Barang'!$B$2:$B$1000,268),"")</f>
      </c>
      <c r="B279" s="4">
        <f>IF(A279="","",COUNTIF('Input Barang'!$B$2:$B$1000,A279))</f>
      </c>
      <c r="C279" s="4">
        <f>IF(A279="","",COUNTIF('Output Agus'!$B$2:$B$1000,A279))</f>
      </c>
      <c r="D279" s="4">
        <f>IF(A279="","",COUNTIF('Output Rexa'!$B$2:$B$1000,A279))</f>
      </c>
      <c r="E279" s="4">
        <f>IF(A279="","",B279-C279-D279)</f>
      </c>
    </row>
    <row r="280">
      <c r="A280" s="5">
        <f>IFERROR(INDEX('Input Barang'!$B$2:$B$1000,269),"")</f>
      </c>
      <c r="B280" s="4">
        <f>IF(A280="","",COUNTIF('Input Barang'!$B$2:$B$1000,A280))</f>
      </c>
      <c r="C280" s="4">
        <f>IF(A280="","",COUNTIF('Output Agus'!$B$2:$B$1000,A280))</f>
      </c>
      <c r="D280" s="4">
        <f>IF(A280="","",COUNTIF('Output Rexa'!$B$2:$B$1000,A280))</f>
      </c>
      <c r="E280" s="4">
        <f>IF(A280="","",B280-C280-D280)</f>
      </c>
    </row>
    <row r="281">
      <c r="A281" s="5">
        <f>IFERROR(INDEX('Input Barang'!$B$2:$B$1000,270),"")</f>
      </c>
      <c r="B281" s="4">
        <f>IF(A281="","",COUNTIF('Input Barang'!$B$2:$B$1000,A281))</f>
      </c>
      <c r="C281" s="4">
        <f>IF(A281="","",COUNTIF('Output Agus'!$B$2:$B$1000,A281))</f>
      </c>
      <c r="D281" s="4">
        <f>IF(A281="","",COUNTIF('Output Rexa'!$B$2:$B$1000,A281))</f>
      </c>
      <c r="E281" s="4">
        <f>IF(A281="","",B281-C281-D281)</f>
      </c>
    </row>
    <row r="282">
      <c r="A282" s="5">
        <f>IFERROR(INDEX('Input Barang'!$B$2:$B$1000,271),"")</f>
      </c>
      <c r="B282" s="4">
        <f>IF(A282="","",COUNTIF('Input Barang'!$B$2:$B$1000,A282))</f>
      </c>
      <c r="C282" s="4">
        <f>IF(A282="","",COUNTIF('Output Agus'!$B$2:$B$1000,A282))</f>
      </c>
      <c r="D282" s="4">
        <f>IF(A282="","",COUNTIF('Output Rexa'!$B$2:$B$1000,A282))</f>
      </c>
      <c r="E282" s="4">
        <f>IF(A282="","",B282-C282-D282)</f>
      </c>
    </row>
    <row r="283">
      <c r="A283" s="5">
        <f>IFERROR(INDEX('Input Barang'!$B$2:$B$1000,272),"")</f>
      </c>
      <c r="B283" s="4">
        <f>IF(A283="","",COUNTIF('Input Barang'!$B$2:$B$1000,A283))</f>
      </c>
      <c r="C283" s="4">
        <f>IF(A283="","",COUNTIF('Output Agus'!$B$2:$B$1000,A283))</f>
      </c>
      <c r="D283" s="4">
        <f>IF(A283="","",COUNTIF('Output Rexa'!$B$2:$B$1000,A283))</f>
      </c>
      <c r="E283" s="4">
        <f>IF(A283="","",B283-C283-D283)</f>
      </c>
    </row>
    <row r="284">
      <c r="A284" s="5">
        <f>IFERROR(INDEX('Input Barang'!$B$2:$B$1000,273),"")</f>
      </c>
      <c r="B284" s="4">
        <f>IF(A284="","",COUNTIF('Input Barang'!$B$2:$B$1000,A284))</f>
      </c>
      <c r="C284" s="4">
        <f>IF(A284="","",COUNTIF('Output Agus'!$B$2:$B$1000,A284))</f>
      </c>
      <c r="D284" s="4">
        <f>IF(A284="","",COUNTIF('Output Rexa'!$B$2:$B$1000,A284))</f>
      </c>
      <c r="E284" s="4">
        <f>IF(A284="","",B284-C284-D284)</f>
      </c>
    </row>
    <row r="285">
      <c r="A285" s="5">
        <f>IFERROR(INDEX('Input Barang'!$B$2:$B$1000,274),"")</f>
      </c>
      <c r="B285" s="4">
        <f>IF(A285="","",COUNTIF('Input Barang'!$B$2:$B$1000,A285))</f>
      </c>
      <c r="C285" s="4">
        <f>IF(A285="","",COUNTIF('Output Agus'!$B$2:$B$1000,A285))</f>
      </c>
      <c r="D285" s="4">
        <f>IF(A285="","",COUNTIF('Output Rexa'!$B$2:$B$1000,A285))</f>
      </c>
      <c r="E285" s="4">
        <f>IF(A285="","",B285-C285-D285)</f>
      </c>
    </row>
    <row r="286">
      <c r="A286" s="5">
        <f>IFERROR(INDEX('Input Barang'!$B$2:$B$1000,275),"")</f>
      </c>
      <c r="B286" s="4">
        <f>IF(A286="","",COUNTIF('Input Barang'!$B$2:$B$1000,A286))</f>
      </c>
      <c r="C286" s="4">
        <f>IF(A286="","",COUNTIF('Output Agus'!$B$2:$B$1000,A286))</f>
      </c>
      <c r="D286" s="4">
        <f>IF(A286="","",COUNTIF('Output Rexa'!$B$2:$B$1000,A286))</f>
      </c>
      <c r="E286" s="4">
        <f>IF(A286="","",B286-C286-D286)</f>
      </c>
    </row>
    <row r="287">
      <c r="A287" s="5">
        <f>IFERROR(INDEX('Input Barang'!$B$2:$B$1000,276),"")</f>
      </c>
      <c r="B287" s="4">
        <f>IF(A287="","",COUNTIF('Input Barang'!$B$2:$B$1000,A287))</f>
      </c>
      <c r="C287" s="4">
        <f>IF(A287="","",COUNTIF('Output Agus'!$B$2:$B$1000,A287))</f>
      </c>
      <c r="D287" s="4">
        <f>IF(A287="","",COUNTIF('Output Rexa'!$B$2:$B$1000,A287))</f>
      </c>
      <c r="E287" s="4">
        <f>IF(A287="","",B287-C287-D287)</f>
      </c>
    </row>
    <row r="288">
      <c r="A288" s="5">
        <f>IFERROR(INDEX('Input Barang'!$B$2:$B$1000,277),"")</f>
      </c>
      <c r="B288" s="4">
        <f>IF(A288="","",COUNTIF('Input Barang'!$B$2:$B$1000,A288))</f>
      </c>
      <c r="C288" s="4">
        <f>IF(A288="","",COUNTIF('Output Agus'!$B$2:$B$1000,A288))</f>
      </c>
      <c r="D288" s="4">
        <f>IF(A288="","",COUNTIF('Output Rexa'!$B$2:$B$1000,A288))</f>
      </c>
      <c r="E288" s="4">
        <f>IF(A288="","",B288-C288-D288)</f>
      </c>
    </row>
    <row r="289">
      <c r="A289" s="5">
        <f>IFERROR(INDEX('Input Barang'!$B$2:$B$1000,278),"")</f>
      </c>
      <c r="B289" s="4">
        <f>IF(A289="","",COUNTIF('Input Barang'!$B$2:$B$1000,A289))</f>
      </c>
      <c r="C289" s="4">
        <f>IF(A289="","",COUNTIF('Output Agus'!$B$2:$B$1000,A289))</f>
      </c>
      <c r="D289" s="4">
        <f>IF(A289="","",COUNTIF('Output Rexa'!$B$2:$B$1000,A289))</f>
      </c>
      <c r="E289" s="4">
        <f>IF(A289="","",B289-C289-D289)</f>
      </c>
    </row>
    <row r="290">
      <c r="A290" s="5">
        <f>IFERROR(INDEX('Input Barang'!$B$2:$B$1000,279),"")</f>
      </c>
      <c r="B290" s="4">
        <f>IF(A290="","",COUNTIF('Input Barang'!$B$2:$B$1000,A290))</f>
      </c>
      <c r="C290" s="4">
        <f>IF(A290="","",COUNTIF('Output Agus'!$B$2:$B$1000,A290))</f>
      </c>
      <c r="D290" s="4">
        <f>IF(A290="","",COUNTIF('Output Rexa'!$B$2:$B$1000,A290))</f>
      </c>
      <c r="E290" s="4">
        <f>IF(A290="","",B290-C290-D290)</f>
      </c>
    </row>
    <row r="291">
      <c r="A291" s="5">
        <f>IFERROR(INDEX('Input Barang'!$B$2:$B$1000,280),"")</f>
      </c>
      <c r="B291" s="4">
        <f>IF(A291="","",COUNTIF('Input Barang'!$B$2:$B$1000,A291))</f>
      </c>
      <c r="C291" s="4">
        <f>IF(A291="","",COUNTIF('Output Agus'!$B$2:$B$1000,A291))</f>
      </c>
      <c r="D291" s="4">
        <f>IF(A291="","",COUNTIF('Output Rexa'!$B$2:$B$1000,A291))</f>
      </c>
      <c r="E291" s="4">
        <f>IF(A291="","",B291-C291-D291)</f>
      </c>
    </row>
    <row r="292">
      <c r="A292" s="5">
        <f>IFERROR(INDEX('Input Barang'!$B$2:$B$1000,281),"")</f>
      </c>
      <c r="B292" s="4">
        <f>IF(A292="","",COUNTIF('Input Barang'!$B$2:$B$1000,A292))</f>
      </c>
      <c r="C292" s="4">
        <f>IF(A292="","",COUNTIF('Output Agus'!$B$2:$B$1000,A292))</f>
      </c>
      <c r="D292" s="4">
        <f>IF(A292="","",COUNTIF('Output Rexa'!$B$2:$B$1000,A292))</f>
      </c>
      <c r="E292" s="4">
        <f>IF(A292="","",B292-C292-D292)</f>
      </c>
    </row>
    <row r="293">
      <c r="A293" s="5">
        <f>IFERROR(INDEX('Input Barang'!$B$2:$B$1000,282),"")</f>
      </c>
      <c r="B293" s="4">
        <f>IF(A293="","",COUNTIF('Input Barang'!$B$2:$B$1000,A293))</f>
      </c>
      <c r="C293" s="4">
        <f>IF(A293="","",COUNTIF('Output Agus'!$B$2:$B$1000,A293))</f>
      </c>
      <c r="D293" s="4">
        <f>IF(A293="","",COUNTIF('Output Rexa'!$B$2:$B$1000,A293))</f>
      </c>
      <c r="E293" s="4">
        <f>IF(A293="","",B293-C293-D293)</f>
      </c>
    </row>
    <row r="294">
      <c r="A294" s="5">
        <f>IFERROR(INDEX('Input Barang'!$B$2:$B$1000,283),"")</f>
      </c>
      <c r="B294" s="4">
        <f>IF(A294="","",COUNTIF('Input Barang'!$B$2:$B$1000,A294))</f>
      </c>
      <c r="C294" s="4">
        <f>IF(A294="","",COUNTIF('Output Agus'!$B$2:$B$1000,A294))</f>
      </c>
      <c r="D294" s="4">
        <f>IF(A294="","",COUNTIF('Output Rexa'!$B$2:$B$1000,A294))</f>
      </c>
      <c r="E294" s="4">
        <f>IF(A294="","",B294-C294-D294)</f>
      </c>
    </row>
    <row r="295">
      <c r="A295" s="5">
        <f>IFERROR(INDEX('Input Barang'!$B$2:$B$1000,284),"")</f>
      </c>
      <c r="B295" s="4">
        <f>IF(A295="","",COUNTIF('Input Barang'!$B$2:$B$1000,A295))</f>
      </c>
      <c r="C295" s="4">
        <f>IF(A295="","",COUNTIF('Output Agus'!$B$2:$B$1000,A295))</f>
      </c>
      <c r="D295" s="4">
        <f>IF(A295="","",COUNTIF('Output Rexa'!$B$2:$B$1000,A295))</f>
      </c>
      <c r="E295" s="4">
        <f>IF(A295="","",B295-C295-D295)</f>
      </c>
    </row>
    <row r="296">
      <c r="A296" s="5">
        <f>IFERROR(INDEX('Input Barang'!$B$2:$B$1000,285),"")</f>
      </c>
      <c r="B296" s="4">
        <f>IF(A296="","",COUNTIF('Input Barang'!$B$2:$B$1000,A296))</f>
      </c>
      <c r="C296" s="4">
        <f>IF(A296="","",COUNTIF('Output Agus'!$B$2:$B$1000,A296))</f>
      </c>
      <c r="D296" s="4">
        <f>IF(A296="","",COUNTIF('Output Rexa'!$B$2:$B$1000,A296))</f>
      </c>
      <c r="E296" s="4">
        <f>IF(A296="","",B296-C296-D296)</f>
      </c>
    </row>
    <row r="297">
      <c r="A297" s="5">
        <f>IFERROR(INDEX('Input Barang'!$B$2:$B$1000,286),"")</f>
      </c>
      <c r="B297" s="4">
        <f>IF(A297="","",COUNTIF('Input Barang'!$B$2:$B$1000,A297))</f>
      </c>
      <c r="C297" s="4">
        <f>IF(A297="","",COUNTIF('Output Agus'!$B$2:$B$1000,A297))</f>
      </c>
      <c r="D297" s="4">
        <f>IF(A297="","",COUNTIF('Output Rexa'!$B$2:$B$1000,A297))</f>
      </c>
      <c r="E297" s="4">
        <f>IF(A297="","",B297-C297-D297)</f>
      </c>
    </row>
    <row r="298">
      <c r="A298" s="5">
        <f>IFERROR(INDEX('Input Barang'!$B$2:$B$1000,287),"")</f>
      </c>
      <c r="B298" s="4">
        <f>IF(A298="","",COUNTIF('Input Barang'!$B$2:$B$1000,A298))</f>
      </c>
      <c r="C298" s="4">
        <f>IF(A298="","",COUNTIF('Output Agus'!$B$2:$B$1000,A298))</f>
      </c>
      <c r="D298" s="4">
        <f>IF(A298="","",COUNTIF('Output Rexa'!$B$2:$B$1000,A298))</f>
      </c>
      <c r="E298" s="4">
        <f>IF(A298="","",B298-C298-D298)</f>
      </c>
    </row>
    <row r="299">
      <c r="A299" s="5">
        <f>IFERROR(INDEX('Input Barang'!$B$2:$B$1000,288),"")</f>
      </c>
      <c r="B299" s="4">
        <f>IF(A299="","",COUNTIF('Input Barang'!$B$2:$B$1000,A299))</f>
      </c>
      <c r="C299" s="4">
        <f>IF(A299="","",COUNTIF('Output Agus'!$B$2:$B$1000,A299))</f>
      </c>
      <c r="D299" s="4">
        <f>IF(A299="","",COUNTIF('Output Rexa'!$B$2:$B$1000,A299))</f>
      </c>
      <c r="E299" s="4">
        <f>IF(A299="","",B299-C299-D299)</f>
      </c>
    </row>
    <row r="300">
      <c r="A300" s="5">
        <f>IFERROR(INDEX('Input Barang'!$B$2:$B$1000,289),"")</f>
      </c>
      <c r="B300" s="4">
        <f>IF(A300="","",COUNTIF('Input Barang'!$B$2:$B$1000,A300))</f>
      </c>
      <c r="C300" s="4">
        <f>IF(A300="","",COUNTIF('Output Agus'!$B$2:$B$1000,A300))</f>
      </c>
      <c r="D300" s="4">
        <f>IF(A300="","",COUNTIF('Output Rexa'!$B$2:$B$1000,A300))</f>
      </c>
      <c r="E300" s="4">
        <f>IF(A300="","",B300-C300-D300)</f>
      </c>
    </row>
    <row r="301">
      <c r="A301" s="5">
        <f>IFERROR(INDEX('Input Barang'!$B$2:$B$1000,290),"")</f>
      </c>
      <c r="B301" s="4">
        <f>IF(A301="","",COUNTIF('Input Barang'!$B$2:$B$1000,A301))</f>
      </c>
      <c r="C301" s="4">
        <f>IF(A301="","",COUNTIF('Output Agus'!$B$2:$B$1000,A301))</f>
      </c>
      <c r="D301" s="4">
        <f>IF(A301="","",COUNTIF('Output Rexa'!$B$2:$B$1000,A301))</f>
      </c>
      <c r="E301" s="4">
        <f>IF(A301="","",B301-C301-D301)</f>
      </c>
    </row>
    <row r="302">
      <c r="A302" s="5">
        <f>IFERROR(INDEX('Input Barang'!$B$2:$B$1000,291),"")</f>
      </c>
      <c r="B302" s="4">
        <f>IF(A302="","",COUNTIF('Input Barang'!$B$2:$B$1000,A302))</f>
      </c>
      <c r="C302" s="4">
        <f>IF(A302="","",COUNTIF('Output Agus'!$B$2:$B$1000,A302))</f>
      </c>
      <c r="D302" s="4">
        <f>IF(A302="","",COUNTIF('Output Rexa'!$B$2:$B$1000,A302))</f>
      </c>
      <c r="E302" s="4">
        <f>IF(A302="","",B302-C302-D302)</f>
      </c>
    </row>
    <row r="303">
      <c r="A303" s="5">
        <f>IFERROR(INDEX('Input Barang'!$B$2:$B$1000,292),"")</f>
      </c>
      <c r="B303" s="4">
        <f>IF(A303="","",COUNTIF('Input Barang'!$B$2:$B$1000,A303))</f>
      </c>
      <c r="C303" s="4">
        <f>IF(A303="","",COUNTIF('Output Agus'!$B$2:$B$1000,A303))</f>
      </c>
      <c r="D303" s="4">
        <f>IF(A303="","",COUNTIF('Output Rexa'!$B$2:$B$1000,A303))</f>
      </c>
      <c r="E303" s="4">
        <f>IF(A303="","",B303-C303-D303)</f>
      </c>
    </row>
    <row r="304">
      <c r="A304" s="5">
        <f>IFERROR(INDEX('Input Barang'!$B$2:$B$1000,293),"")</f>
      </c>
      <c r="B304" s="4">
        <f>IF(A304="","",COUNTIF('Input Barang'!$B$2:$B$1000,A304))</f>
      </c>
      <c r="C304" s="4">
        <f>IF(A304="","",COUNTIF('Output Agus'!$B$2:$B$1000,A304))</f>
      </c>
      <c r="D304" s="4">
        <f>IF(A304="","",COUNTIF('Output Rexa'!$B$2:$B$1000,A304))</f>
      </c>
      <c r="E304" s="4">
        <f>IF(A304="","",B304-C304-D304)</f>
      </c>
    </row>
    <row r="305">
      <c r="A305" s="5">
        <f>IFERROR(INDEX('Input Barang'!$B$2:$B$1000,294),"")</f>
      </c>
      <c r="B305" s="4">
        <f>IF(A305="","",COUNTIF('Input Barang'!$B$2:$B$1000,A305))</f>
      </c>
      <c r="C305" s="4">
        <f>IF(A305="","",COUNTIF('Output Agus'!$B$2:$B$1000,A305))</f>
      </c>
      <c r="D305" s="4">
        <f>IF(A305="","",COUNTIF('Output Rexa'!$B$2:$B$1000,A305))</f>
      </c>
      <c r="E305" s="4">
        <f>IF(A305="","",B305-C305-D305)</f>
      </c>
    </row>
    <row r="306">
      <c r="A306" s="5">
        <f>IFERROR(INDEX('Input Barang'!$B$2:$B$1000,295),"")</f>
      </c>
      <c r="B306" s="4">
        <f>IF(A306="","",COUNTIF('Input Barang'!$B$2:$B$1000,A306))</f>
      </c>
      <c r="C306" s="4">
        <f>IF(A306="","",COUNTIF('Output Agus'!$B$2:$B$1000,A306))</f>
      </c>
      <c r="D306" s="4">
        <f>IF(A306="","",COUNTIF('Output Rexa'!$B$2:$B$1000,A306))</f>
      </c>
      <c r="E306" s="4">
        <f>IF(A306="","",B306-C306-D306)</f>
      </c>
    </row>
    <row r="307">
      <c r="A307" s="5">
        <f>IFERROR(INDEX('Input Barang'!$B$2:$B$1000,296),"")</f>
      </c>
      <c r="B307" s="4">
        <f>IF(A307="","",COUNTIF('Input Barang'!$B$2:$B$1000,A307))</f>
      </c>
      <c r="C307" s="4">
        <f>IF(A307="","",COUNTIF('Output Agus'!$B$2:$B$1000,A307))</f>
      </c>
      <c r="D307" s="4">
        <f>IF(A307="","",COUNTIF('Output Rexa'!$B$2:$B$1000,A307))</f>
      </c>
      <c r="E307" s="4">
        <f>IF(A307="","",B307-C307-D307)</f>
      </c>
    </row>
    <row r="308">
      <c r="A308" s="5">
        <f>IFERROR(INDEX('Input Barang'!$B$2:$B$1000,297),"")</f>
      </c>
      <c r="B308" s="4">
        <f>IF(A308="","",COUNTIF('Input Barang'!$B$2:$B$1000,A308))</f>
      </c>
      <c r="C308" s="4">
        <f>IF(A308="","",COUNTIF('Output Agus'!$B$2:$B$1000,A308))</f>
      </c>
      <c r="D308" s="4">
        <f>IF(A308="","",COUNTIF('Output Rexa'!$B$2:$B$1000,A308))</f>
      </c>
      <c r="E308" s="4">
        <f>IF(A308="","",B308-C308-D308)</f>
      </c>
    </row>
    <row r="309">
      <c r="A309" s="5">
        <f>IFERROR(INDEX('Input Barang'!$B$2:$B$1000,298),"")</f>
      </c>
      <c r="B309" s="4">
        <f>IF(A309="","",COUNTIF('Input Barang'!$B$2:$B$1000,A309))</f>
      </c>
      <c r="C309" s="4">
        <f>IF(A309="","",COUNTIF('Output Agus'!$B$2:$B$1000,A309))</f>
      </c>
      <c r="D309" s="4">
        <f>IF(A309="","",COUNTIF('Output Rexa'!$B$2:$B$1000,A309))</f>
      </c>
      <c r="E309" s="4">
        <f>IF(A309="","",B309-C309-D309)</f>
      </c>
    </row>
    <row r="310">
      <c r="A310" s="5">
        <f>IFERROR(INDEX('Input Barang'!$B$2:$B$1000,299),"")</f>
      </c>
      <c r="B310" s="4">
        <f>IF(A310="","",COUNTIF('Input Barang'!$B$2:$B$1000,A310))</f>
      </c>
      <c r="C310" s="4">
        <f>IF(A310="","",COUNTIF('Output Agus'!$B$2:$B$1000,A310))</f>
      </c>
      <c r="D310" s="4">
        <f>IF(A310="","",COUNTIF('Output Rexa'!$B$2:$B$1000,A310))</f>
      </c>
      <c r="E310" s="4">
        <f>IF(A310="","",B310-C310-D310)</f>
      </c>
    </row>
    <row r="311">
      <c r="A311" s="5">
        <f>IFERROR(INDEX('Input Barang'!$B$2:$B$1000,300),"")</f>
      </c>
      <c r="B311" s="4">
        <f>IF(A311="","",COUNTIF('Input Barang'!$B$2:$B$1000,A311))</f>
      </c>
      <c r="C311" s="4">
        <f>IF(A311="","",COUNTIF('Output Agus'!$B$2:$B$1000,A311))</f>
      </c>
      <c r="D311" s="4">
        <f>IF(A311="","",COUNTIF('Output Rexa'!$B$2:$B$1000,A311))</f>
      </c>
      <c r="E311" s="4">
        <f>IF(A311="","",B311-C311-D311)</f>
      </c>
    </row>
    <row r="312">
      <c r="A312" s="5">
        <f>IFERROR(INDEX('Input Barang'!$B$2:$B$1000,301),"")</f>
      </c>
      <c r="B312" s="4">
        <f>IF(A312="","",COUNTIF('Input Barang'!$B$2:$B$1000,A312))</f>
      </c>
      <c r="C312" s="4">
        <f>IF(A312="","",COUNTIF('Output Agus'!$B$2:$B$1000,A312))</f>
      </c>
      <c r="D312" s="4">
        <f>IF(A312="","",COUNTIF('Output Rexa'!$B$2:$B$1000,A312))</f>
      </c>
      <c r="E312" s="4">
        <f>IF(A312="","",B312-C312-D312)</f>
      </c>
    </row>
    <row r="313">
      <c r="A313" s="5">
        <f>IFERROR(INDEX('Input Barang'!$B$2:$B$1000,302),"")</f>
      </c>
      <c r="B313" s="4">
        <f>IF(A313="","",COUNTIF('Input Barang'!$B$2:$B$1000,A313))</f>
      </c>
      <c r="C313" s="4">
        <f>IF(A313="","",COUNTIF('Output Agus'!$B$2:$B$1000,A313))</f>
      </c>
      <c r="D313" s="4">
        <f>IF(A313="","",COUNTIF('Output Rexa'!$B$2:$B$1000,A313))</f>
      </c>
      <c r="E313" s="4">
        <f>IF(A313="","",B313-C313-D313)</f>
      </c>
    </row>
    <row r="314">
      <c r="A314" s="5">
        <f>IFERROR(INDEX('Input Barang'!$B$2:$B$1000,303),"")</f>
      </c>
      <c r="B314" s="4">
        <f>IF(A314="","",COUNTIF('Input Barang'!$B$2:$B$1000,A314))</f>
      </c>
      <c r="C314" s="4">
        <f>IF(A314="","",COUNTIF('Output Agus'!$B$2:$B$1000,A314))</f>
      </c>
      <c r="D314" s="4">
        <f>IF(A314="","",COUNTIF('Output Rexa'!$B$2:$B$1000,A314))</f>
      </c>
      <c r="E314" s="4">
        <f>IF(A314="","",B314-C314-D314)</f>
      </c>
    </row>
    <row r="315">
      <c r="A315" s="5">
        <f>IFERROR(INDEX('Input Barang'!$B$2:$B$1000,304),"")</f>
      </c>
      <c r="B315" s="4">
        <f>IF(A315="","",COUNTIF('Input Barang'!$B$2:$B$1000,A315))</f>
      </c>
      <c r="C315" s="4">
        <f>IF(A315="","",COUNTIF('Output Agus'!$B$2:$B$1000,A315))</f>
      </c>
      <c r="D315" s="4">
        <f>IF(A315="","",COUNTIF('Output Rexa'!$B$2:$B$1000,A315))</f>
      </c>
      <c r="E315" s="4">
        <f>IF(A315="","",B315-C315-D315)</f>
      </c>
    </row>
    <row r="316">
      <c r="A316" s="5">
        <f>IFERROR(INDEX('Input Barang'!$B$2:$B$1000,305),"")</f>
      </c>
      <c r="B316" s="4">
        <f>IF(A316="","",COUNTIF('Input Barang'!$B$2:$B$1000,A316))</f>
      </c>
      <c r="C316" s="4">
        <f>IF(A316="","",COUNTIF('Output Agus'!$B$2:$B$1000,A316))</f>
      </c>
      <c r="D316" s="4">
        <f>IF(A316="","",COUNTIF('Output Rexa'!$B$2:$B$1000,A316))</f>
      </c>
      <c r="E316" s="4">
        <f>IF(A316="","",B316-C316-D316)</f>
      </c>
    </row>
    <row r="317">
      <c r="A317" s="5">
        <f>IFERROR(INDEX('Input Barang'!$B$2:$B$1000,306),"")</f>
      </c>
      <c r="B317" s="4">
        <f>IF(A317="","",COUNTIF('Input Barang'!$B$2:$B$1000,A317))</f>
      </c>
      <c r="C317" s="4">
        <f>IF(A317="","",COUNTIF('Output Agus'!$B$2:$B$1000,A317))</f>
      </c>
      <c r="D317" s="4">
        <f>IF(A317="","",COUNTIF('Output Rexa'!$B$2:$B$1000,A317))</f>
      </c>
      <c r="E317" s="4">
        <f>IF(A317="","",B317-C317-D317)</f>
      </c>
    </row>
    <row r="318">
      <c r="A318" s="5">
        <f>IFERROR(INDEX('Input Barang'!$B$2:$B$1000,307),"")</f>
      </c>
      <c r="B318" s="4">
        <f>IF(A318="","",COUNTIF('Input Barang'!$B$2:$B$1000,A318))</f>
      </c>
      <c r="C318" s="4">
        <f>IF(A318="","",COUNTIF('Output Agus'!$B$2:$B$1000,A318))</f>
      </c>
      <c r="D318" s="4">
        <f>IF(A318="","",COUNTIF('Output Rexa'!$B$2:$B$1000,A318))</f>
      </c>
      <c r="E318" s="4">
        <f>IF(A318="","",B318-C318-D318)</f>
      </c>
    </row>
    <row r="319">
      <c r="A319" s="5">
        <f>IFERROR(INDEX('Input Barang'!$B$2:$B$1000,308),"")</f>
      </c>
      <c r="B319" s="4">
        <f>IF(A319="","",COUNTIF('Input Barang'!$B$2:$B$1000,A319))</f>
      </c>
      <c r="C319" s="4">
        <f>IF(A319="","",COUNTIF('Output Agus'!$B$2:$B$1000,A319))</f>
      </c>
      <c r="D319" s="4">
        <f>IF(A319="","",COUNTIF('Output Rexa'!$B$2:$B$1000,A319))</f>
      </c>
      <c r="E319" s="4">
        <f>IF(A319="","",B319-C319-D319)</f>
      </c>
    </row>
    <row r="320">
      <c r="A320" s="5">
        <f>IFERROR(INDEX('Input Barang'!$B$2:$B$1000,309),"")</f>
      </c>
      <c r="B320" s="4">
        <f>IF(A320="","",COUNTIF('Input Barang'!$B$2:$B$1000,A320))</f>
      </c>
      <c r="C320" s="4">
        <f>IF(A320="","",COUNTIF('Output Agus'!$B$2:$B$1000,A320))</f>
      </c>
      <c r="D320" s="4">
        <f>IF(A320="","",COUNTIF('Output Rexa'!$B$2:$B$1000,A320))</f>
      </c>
      <c r="E320" s="4">
        <f>IF(A320="","",B320-C320-D320)</f>
      </c>
    </row>
    <row r="321">
      <c r="A321" s="5">
        <f>IFERROR(INDEX('Input Barang'!$B$2:$B$1000,310),"")</f>
      </c>
      <c r="B321" s="4">
        <f>IF(A321="","",COUNTIF('Input Barang'!$B$2:$B$1000,A321))</f>
      </c>
      <c r="C321" s="4">
        <f>IF(A321="","",COUNTIF('Output Agus'!$B$2:$B$1000,A321))</f>
      </c>
      <c r="D321" s="4">
        <f>IF(A321="","",COUNTIF('Output Rexa'!$B$2:$B$1000,A321))</f>
      </c>
      <c r="E321" s="4">
        <f>IF(A321="","",B321-C321-D321)</f>
      </c>
    </row>
    <row r="322">
      <c r="A322" s="5">
        <f>IFERROR(INDEX('Input Barang'!$B$2:$B$1000,311),"")</f>
      </c>
      <c r="B322" s="4">
        <f>IF(A322="","",COUNTIF('Input Barang'!$B$2:$B$1000,A322))</f>
      </c>
      <c r="C322" s="4">
        <f>IF(A322="","",COUNTIF('Output Agus'!$B$2:$B$1000,A322))</f>
      </c>
      <c r="D322" s="4">
        <f>IF(A322="","",COUNTIF('Output Rexa'!$B$2:$B$1000,A322))</f>
      </c>
      <c r="E322" s="4">
        <f>IF(A322="","",B322-C322-D322)</f>
      </c>
    </row>
    <row r="323">
      <c r="A323" s="5">
        <f>IFERROR(INDEX('Input Barang'!$B$2:$B$1000,312),"")</f>
      </c>
      <c r="B323" s="4">
        <f>IF(A323="","",COUNTIF('Input Barang'!$B$2:$B$1000,A323))</f>
      </c>
      <c r="C323" s="4">
        <f>IF(A323="","",COUNTIF('Output Agus'!$B$2:$B$1000,A323))</f>
      </c>
      <c r="D323" s="4">
        <f>IF(A323="","",COUNTIF('Output Rexa'!$B$2:$B$1000,A323))</f>
      </c>
      <c r="E323" s="4">
        <f>IF(A323="","",B323-C323-D323)</f>
      </c>
    </row>
    <row r="324">
      <c r="A324" s="5">
        <f>IFERROR(INDEX('Input Barang'!$B$2:$B$1000,313),"")</f>
      </c>
      <c r="B324" s="4">
        <f>IF(A324="","",COUNTIF('Input Barang'!$B$2:$B$1000,A324))</f>
      </c>
      <c r="C324" s="4">
        <f>IF(A324="","",COUNTIF('Output Agus'!$B$2:$B$1000,A324))</f>
      </c>
      <c r="D324" s="4">
        <f>IF(A324="","",COUNTIF('Output Rexa'!$B$2:$B$1000,A324))</f>
      </c>
      <c r="E324" s="4">
        <f>IF(A324="","",B324-C324-D324)</f>
      </c>
    </row>
    <row r="325">
      <c r="A325" s="5">
        <f>IFERROR(INDEX('Input Barang'!$B$2:$B$1000,314),"")</f>
      </c>
      <c r="B325" s="4">
        <f>IF(A325="","",COUNTIF('Input Barang'!$B$2:$B$1000,A325))</f>
      </c>
      <c r="C325" s="4">
        <f>IF(A325="","",COUNTIF('Output Agus'!$B$2:$B$1000,A325))</f>
      </c>
      <c r="D325" s="4">
        <f>IF(A325="","",COUNTIF('Output Rexa'!$B$2:$B$1000,A325))</f>
      </c>
      <c r="E325" s="4">
        <f>IF(A325="","",B325-C325-D325)</f>
      </c>
    </row>
    <row r="326">
      <c r="A326" s="5">
        <f>IFERROR(INDEX('Input Barang'!$B$2:$B$1000,315),"")</f>
      </c>
      <c r="B326" s="4">
        <f>IF(A326="","",COUNTIF('Input Barang'!$B$2:$B$1000,A326))</f>
      </c>
      <c r="C326" s="4">
        <f>IF(A326="","",COUNTIF('Output Agus'!$B$2:$B$1000,A326))</f>
      </c>
      <c r="D326" s="4">
        <f>IF(A326="","",COUNTIF('Output Rexa'!$B$2:$B$1000,A326))</f>
      </c>
      <c r="E326" s="4">
        <f>IF(A326="","",B326-C326-D326)</f>
      </c>
    </row>
    <row r="327">
      <c r="A327" s="5">
        <f>IFERROR(INDEX('Input Barang'!$B$2:$B$1000,316),"")</f>
      </c>
      <c r="B327" s="4">
        <f>IF(A327="","",COUNTIF('Input Barang'!$B$2:$B$1000,A327))</f>
      </c>
      <c r="C327" s="4">
        <f>IF(A327="","",COUNTIF('Output Agus'!$B$2:$B$1000,A327))</f>
      </c>
      <c r="D327" s="4">
        <f>IF(A327="","",COUNTIF('Output Rexa'!$B$2:$B$1000,A327))</f>
      </c>
      <c r="E327" s="4">
        <f>IF(A327="","",B327-C327-D327)</f>
      </c>
    </row>
    <row r="328">
      <c r="A328" s="5">
        <f>IFERROR(INDEX('Input Barang'!$B$2:$B$1000,317),"")</f>
      </c>
      <c r="B328" s="4">
        <f>IF(A328="","",COUNTIF('Input Barang'!$B$2:$B$1000,A328))</f>
      </c>
      <c r="C328" s="4">
        <f>IF(A328="","",COUNTIF('Output Agus'!$B$2:$B$1000,A328))</f>
      </c>
      <c r="D328" s="4">
        <f>IF(A328="","",COUNTIF('Output Rexa'!$B$2:$B$1000,A328))</f>
      </c>
      <c r="E328" s="4">
        <f>IF(A328="","",B328-C328-D328)</f>
      </c>
    </row>
    <row r="329">
      <c r="A329" s="5">
        <f>IFERROR(INDEX('Input Barang'!$B$2:$B$1000,318),"")</f>
      </c>
      <c r="B329" s="4">
        <f>IF(A329="","",COUNTIF('Input Barang'!$B$2:$B$1000,A329))</f>
      </c>
      <c r="C329" s="4">
        <f>IF(A329="","",COUNTIF('Output Agus'!$B$2:$B$1000,A329))</f>
      </c>
      <c r="D329" s="4">
        <f>IF(A329="","",COUNTIF('Output Rexa'!$B$2:$B$1000,A329))</f>
      </c>
      <c r="E329" s="4">
        <f>IF(A329="","",B329-C329-D329)</f>
      </c>
    </row>
    <row r="330">
      <c r="A330" s="5">
        <f>IFERROR(INDEX('Input Barang'!$B$2:$B$1000,319),"")</f>
      </c>
      <c r="B330" s="4">
        <f>IF(A330="","",COUNTIF('Input Barang'!$B$2:$B$1000,A330))</f>
      </c>
      <c r="C330" s="4">
        <f>IF(A330="","",COUNTIF('Output Agus'!$B$2:$B$1000,A330))</f>
      </c>
      <c r="D330" s="4">
        <f>IF(A330="","",COUNTIF('Output Rexa'!$B$2:$B$1000,A330))</f>
      </c>
      <c r="E330" s="4">
        <f>IF(A330="","",B330-C330-D330)</f>
      </c>
    </row>
    <row r="331">
      <c r="A331" s="5">
        <f>IFERROR(INDEX('Input Barang'!$B$2:$B$1000,320),"")</f>
      </c>
      <c r="B331" s="4">
        <f>IF(A331="","",COUNTIF('Input Barang'!$B$2:$B$1000,A331))</f>
      </c>
      <c r="C331" s="4">
        <f>IF(A331="","",COUNTIF('Output Agus'!$B$2:$B$1000,A331))</f>
      </c>
      <c r="D331" s="4">
        <f>IF(A331="","",COUNTIF('Output Rexa'!$B$2:$B$1000,A331))</f>
      </c>
      <c r="E331" s="4">
        <f>IF(A331="","",B331-C331-D331)</f>
      </c>
    </row>
    <row r="332">
      <c r="A332" s="5">
        <f>IFERROR(INDEX('Input Barang'!$B$2:$B$1000,321),"")</f>
      </c>
      <c r="B332" s="4">
        <f>IF(A332="","",COUNTIF('Input Barang'!$B$2:$B$1000,A332))</f>
      </c>
      <c r="C332" s="4">
        <f>IF(A332="","",COUNTIF('Output Agus'!$B$2:$B$1000,A332))</f>
      </c>
      <c r="D332" s="4">
        <f>IF(A332="","",COUNTIF('Output Rexa'!$B$2:$B$1000,A332))</f>
      </c>
      <c r="E332" s="4">
        <f>IF(A332="","",B332-C332-D332)</f>
      </c>
    </row>
    <row r="333">
      <c r="A333" s="5">
        <f>IFERROR(INDEX('Input Barang'!$B$2:$B$1000,322),"")</f>
      </c>
      <c r="B333" s="4">
        <f>IF(A333="","",COUNTIF('Input Barang'!$B$2:$B$1000,A333))</f>
      </c>
      <c r="C333" s="4">
        <f>IF(A333="","",COUNTIF('Output Agus'!$B$2:$B$1000,A333))</f>
      </c>
      <c r="D333" s="4">
        <f>IF(A333="","",COUNTIF('Output Rexa'!$B$2:$B$1000,A333))</f>
      </c>
      <c r="E333" s="4">
        <f>IF(A333="","",B333-C333-D333)</f>
      </c>
    </row>
    <row r="334">
      <c r="A334" s="5">
        <f>IFERROR(INDEX('Input Barang'!$B$2:$B$1000,323),"")</f>
      </c>
      <c r="B334" s="4">
        <f>IF(A334="","",COUNTIF('Input Barang'!$B$2:$B$1000,A334))</f>
      </c>
      <c r="C334" s="4">
        <f>IF(A334="","",COUNTIF('Output Agus'!$B$2:$B$1000,A334))</f>
      </c>
      <c r="D334" s="4">
        <f>IF(A334="","",COUNTIF('Output Rexa'!$B$2:$B$1000,A334))</f>
      </c>
      <c r="E334" s="4">
        <f>IF(A334="","",B334-C334-D334)</f>
      </c>
    </row>
    <row r="335">
      <c r="A335" s="5">
        <f>IFERROR(INDEX('Input Barang'!$B$2:$B$1000,324),"")</f>
      </c>
      <c r="B335" s="4">
        <f>IF(A335="","",COUNTIF('Input Barang'!$B$2:$B$1000,A335))</f>
      </c>
      <c r="C335" s="4">
        <f>IF(A335="","",COUNTIF('Output Agus'!$B$2:$B$1000,A335))</f>
      </c>
      <c r="D335" s="4">
        <f>IF(A335="","",COUNTIF('Output Rexa'!$B$2:$B$1000,A335))</f>
      </c>
      <c r="E335" s="4">
        <f>IF(A335="","",B335-C335-D335)</f>
      </c>
    </row>
    <row r="336">
      <c r="A336" s="5">
        <f>IFERROR(INDEX('Input Barang'!$B$2:$B$1000,325),"")</f>
      </c>
      <c r="B336" s="4">
        <f>IF(A336="","",COUNTIF('Input Barang'!$B$2:$B$1000,A336))</f>
      </c>
      <c r="C336" s="4">
        <f>IF(A336="","",COUNTIF('Output Agus'!$B$2:$B$1000,A336))</f>
      </c>
      <c r="D336" s="4">
        <f>IF(A336="","",COUNTIF('Output Rexa'!$B$2:$B$1000,A336))</f>
      </c>
      <c r="E336" s="4">
        <f>IF(A336="","",B336-C336-D336)</f>
      </c>
    </row>
    <row r="337">
      <c r="A337" s="5">
        <f>IFERROR(INDEX('Input Barang'!$B$2:$B$1000,326),"")</f>
      </c>
      <c r="B337" s="4">
        <f>IF(A337="","",COUNTIF('Input Barang'!$B$2:$B$1000,A337))</f>
      </c>
      <c r="C337" s="4">
        <f>IF(A337="","",COUNTIF('Output Agus'!$B$2:$B$1000,A337))</f>
      </c>
      <c r="D337" s="4">
        <f>IF(A337="","",COUNTIF('Output Rexa'!$B$2:$B$1000,A337))</f>
      </c>
      <c r="E337" s="4">
        <f>IF(A337="","",B337-C337-D337)</f>
      </c>
    </row>
    <row r="338">
      <c r="A338" s="5">
        <f>IFERROR(INDEX('Input Barang'!$B$2:$B$1000,327),"")</f>
      </c>
      <c r="B338" s="4">
        <f>IF(A338="","",COUNTIF('Input Barang'!$B$2:$B$1000,A338))</f>
      </c>
      <c r="C338" s="4">
        <f>IF(A338="","",COUNTIF('Output Agus'!$B$2:$B$1000,A338))</f>
      </c>
      <c r="D338" s="4">
        <f>IF(A338="","",COUNTIF('Output Rexa'!$B$2:$B$1000,A338))</f>
      </c>
      <c r="E338" s="4">
        <f>IF(A338="","",B338-C338-D338)</f>
      </c>
    </row>
    <row r="339">
      <c r="A339" s="5">
        <f>IFERROR(INDEX('Input Barang'!$B$2:$B$1000,328),"")</f>
      </c>
      <c r="B339" s="4">
        <f>IF(A339="","",COUNTIF('Input Barang'!$B$2:$B$1000,A339))</f>
      </c>
      <c r="C339" s="4">
        <f>IF(A339="","",COUNTIF('Output Agus'!$B$2:$B$1000,A339))</f>
      </c>
      <c r="D339" s="4">
        <f>IF(A339="","",COUNTIF('Output Rexa'!$B$2:$B$1000,A339))</f>
      </c>
      <c r="E339" s="4">
        <f>IF(A339="","",B339-C339-D339)</f>
      </c>
    </row>
    <row r="340">
      <c r="A340" s="5">
        <f>IFERROR(INDEX('Input Barang'!$B$2:$B$1000,329),"")</f>
      </c>
      <c r="B340" s="4">
        <f>IF(A340="","",COUNTIF('Input Barang'!$B$2:$B$1000,A340))</f>
      </c>
      <c r="C340" s="4">
        <f>IF(A340="","",COUNTIF('Output Agus'!$B$2:$B$1000,A340))</f>
      </c>
      <c r="D340" s="4">
        <f>IF(A340="","",COUNTIF('Output Rexa'!$B$2:$B$1000,A340))</f>
      </c>
      <c r="E340" s="4">
        <f>IF(A340="","",B340-C340-D340)</f>
      </c>
    </row>
    <row r="341">
      <c r="A341" s="5">
        <f>IFERROR(INDEX('Input Barang'!$B$2:$B$1000,330),"")</f>
      </c>
      <c r="B341" s="4">
        <f>IF(A341="","",COUNTIF('Input Barang'!$B$2:$B$1000,A341))</f>
      </c>
      <c r="C341" s="4">
        <f>IF(A341="","",COUNTIF('Output Agus'!$B$2:$B$1000,A341))</f>
      </c>
      <c r="D341" s="4">
        <f>IF(A341="","",COUNTIF('Output Rexa'!$B$2:$B$1000,A341))</f>
      </c>
      <c r="E341" s="4">
        <f>IF(A341="","",B341-C341-D341)</f>
      </c>
    </row>
    <row r="342">
      <c r="A342" s="5">
        <f>IFERROR(INDEX('Input Barang'!$B$2:$B$1000,331),"")</f>
      </c>
      <c r="B342" s="4">
        <f>IF(A342="","",COUNTIF('Input Barang'!$B$2:$B$1000,A342))</f>
      </c>
      <c r="C342" s="4">
        <f>IF(A342="","",COUNTIF('Output Agus'!$B$2:$B$1000,A342))</f>
      </c>
      <c r="D342" s="4">
        <f>IF(A342="","",COUNTIF('Output Rexa'!$B$2:$B$1000,A342))</f>
      </c>
      <c r="E342" s="4">
        <f>IF(A342="","",B342-C342-D342)</f>
      </c>
    </row>
    <row r="343">
      <c r="A343" s="5">
        <f>IFERROR(INDEX('Input Barang'!$B$2:$B$1000,332),"")</f>
      </c>
      <c r="B343" s="4">
        <f>IF(A343="","",COUNTIF('Input Barang'!$B$2:$B$1000,A343))</f>
      </c>
      <c r="C343" s="4">
        <f>IF(A343="","",COUNTIF('Output Agus'!$B$2:$B$1000,A343))</f>
      </c>
      <c r="D343" s="4">
        <f>IF(A343="","",COUNTIF('Output Rexa'!$B$2:$B$1000,A343))</f>
      </c>
      <c r="E343" s="4">
        <f>IF(A343="","",B343-C343-D343)</f>
      </c>
    </row>
    <row r="344">
      <c r="A344" s="5">
        <f>IFERROR(INDEX('Input Barang'!$B$2:$B$1000,333),"")</f>
      </c>
      <c r="B344" s="4">
        <f>IF(A344="","",COUNTIF('Input Barang'!$B$2:$B$1000,A344))</f>
      </c>
      <c r="C344" s="4">
        <f>IF(A344="","",COUNTIF('Output Agus'!$B$2:$B$1000,A344))</f>
      </c>
      <c r="D344" s="4">
        <f>IF(A344="","",COUNTIF('Output Rexa'!$B$2:$B$1000,A344))</f>
      </c>
      <c r="E344" s="4">
        <f>IF(A344="","",B344-C344-D344)</f>
      </c>
    </row>
    <row r="345">
      <c r="A345" s="5">
        <f>IFERROR(INDEX('Input Barang'!$B$2:$B$1000,334),"")</f>
      </c>
      <c r="B345" s="4">
        <f>IF(A345="","",COUNTIF('Input Barang'!$B$2:$B$1000,A345))</f>
      </c>
      <c r="C345" s="4">
        <f>IF(A345="","",COUNTIF('Output Agus'!$B$2:$B$1000,A345))</f>
      </c>
      <c r="D345" s="4">
        <f>IF(A345="","",COUNTIF('Output Rexa'!$B$2:$B$1000,A345))</f>
      </c>
      <c r="E345" s="4">
        <f>IF(A345="","",B345-C345-D345)</f>
      </c>
    </row>
    <row r="346">
      <c r="A346" s="5">
        <f>IFERROR(INDEX('Input Barang'!$B$2:$B$1000,335),"")</f>
      </c>
      <c r="B346" s="4">
        <f>IF(A346="","",COUNTIF('Input Barang'!$B$2:$B$1000,A346))</f>
      </c>
      <c r="C346" s="4">
        <f>IF(A346="","",COUNTIF('Output Agus'!$B$2:$B$1000,A346))</f>
      </c>
      <c r="D346" s="4">
        <f>IF(A346="","",COUNTIF('Output Rexa'!$B$2:$B$1000,A346))</f>
      </c>
      <c r="E346" s="4">
        <f>IF(A346="","",B346-C346-D346)</f>
      </c>
    </row>
    <row r="347">
      <c r="A347" s="5">
        <f>IFERROR(INDEX('Input Barang'!$B$2:$B$1000,336),"")</f>
      </c>
      <c r="B347" s="4">
        <f>IF(A347="","",COUNTIF('Input Barang'!$B$2:$B$1000,A347))</f>
      </c>
      <c r="C347" s="4">
        <f>IF(A347="","",COUNTIF('Output Agus'!$B$2:$B$1000,A347))</f>
      </c>
      <c r="D347" s="4">
        <f>IF(A347="","",COUNTIF('Output Rexa'!$B$2:$B$1000,A347))</f>
      </c>
      <c r="E347" s="4">
        <f>IF(A347="","",B347-C347-D347)</f>
      </c>
    </row>
    <row r="348">
      <c r="A348" s="5">
        <f>IFERROR(INDEX('Input Barang'!$B$2:$B$1000,337),"")</f>
      </c>
      <c r="B348" s="4">
        <f>IF(A348="","",COUNTIF('Input Barang'!$B$2:$B$1000,A348))</f>
      </c>
      <c r="C348" s="4">
        <f>IF(A348="","",COUNTIF('Output Agus'!$B$2:$B$1000,A348))</f>
      </c>
      <c r="D348" s="4">
        <f>IF(A348="","",COUNTIF('Output Rexa'!$B$2:$B$1000,A348))</f>
      </c>
      <c r="E348" s="4">
        <f>IF(A348="","",B348-C348-D348)</f>
      </c>
    </row>
    <row r="349">
      <c r="A349" s="5">
        <f>IFERROR(INDEX('Input Barang'!$B$2:$B$1000,338),"")</f>
      </c>
      <c r="B349" s="4">
        <f>IF(A349="","",COUNTIF('Input Barang'!$B$2:$B$1000,A349))</f>
      </c>
      <c r="C349" s="4">
        <f>IF(A349="","",COUNTIF('Output Agus'!$B$2:$B$1000,A349))</f>
      </c>
      <c r="D349" s="4">
        <f>IF(A349="","",COUNTIF('Output Rexa'!$B$2:$B$1000,A349))</f>
      </c>
      <c r="E349" s="4">
        <f>IF(A349="","",B349-C349-D349)</f>
      </c>
    </row>
    <row r="350">
      <c r="A350" s="5">
        <f>IFERROR(INDEX('Input Barang'!$B$2:$B$1000,339),"")</f>
      </c>
      <c r="B350" s="4">
        <f>IF(A350="","",COUNTIF('Input Barang'!$B$2:$B$1000,A350))</f>
      </c>
      <c r="C350" s="4">
        <f>IF(A350="","",COUNTIF('Output Agus'!$B$2:$B$1000,A350))</f>
      </c>
      <c r="D350" s="4">
        <f>IF(A350="","",COUNTIF('Output Rexa'!$B$2:$B$1000,A350))</f>
      </c>
      <c r="E350" s="4">
        <f>IF(A350="","",B350-C350-D350)</f>
      </c>
    </row>
    <row r="351">
      <c r="A351" s="5">
        <f>IFERROR(INDEX('Input Barang'!$B$2:$B$1000,340),"")</f>
      </c>
      <c r="B351" s="4">
        <f>IF(A351="","",COUNTIF('Input Barang'!$B$2:$B$1000,A351))</f>
      </c>
      <c r="C351" s="4">
        <f>IF(A351="","",COUNTIF('Output Agus'!$B$2:$B$1000,A351))</f>
      </c>
      <c r="D351" s="4">
        <f>IF(A351="","",COUNTIF('Output Rexa'!$B$2:$B$1000,A351))</f>
      </c>
      <c r="E351" s="4">
        <f>IF(A351="","",B351-C351-D351)</f>
      </c>
    </row>
    <row r="352">
      <c r="A352" s="5">
        <f>IFERROR(INDEX('Input Barang'!$B$2:$B$1000,341),"")</f>
      </c>
      <c r="B352" s="4">
        <f>IF(A352="","",COUNTIF('Input Barang'!$B$2:$B$1000,A352))</f>
      </c>
      <c r="C352" s="4">
        <f>IF(A352="","",COUNTIF('Output Agus'!$B$2:$B$1000,A352))</f>
      </c>
      <c r="D352" s="4">
        <f>IF(A352="","",COUNTIF('Output Rexa'!$B$2:$B$1000,A352))</f>
      </c>
      <c r="E352" s="4">
        <f>IF(A352="","",B352-C352-D352)</f>
      </c>
    </row>
    <row r="353">
      <c r="A353" s="5">
        <f>IFERROR(INDEX('Input Barang'!$B$2:$B$1000,342),"")</f>
      </c>
      <c r="B353" s="4">
        <f>IF(A353="","",COUNTIF('Input Barang'!$B$2:$B$1000,A353))</f>
      </c>
      <c r="C353" s="4">
        <f>IF(A353="","",COUNTIF('Output Agus'!$B$2:$B$1000,A353))</f>
      </c>
      <c r="D353" s="4">
        <f>IF(A353="","",COUNTIF('Output Rexa'!$B$2:$B$1000,A353))</f>
      </c>
      <c r="E353" s="4">
        <f>IF(A353="","",B353-C353-D353)</f>
      </c>
    </row>
    <row r="354">
      <c r="A354" s="5">
        <f>IFERROR(INDEX('Input Barang'!$B$2:$B$1000,343),"")</f>
      </c>
      <c r="B354" s="4">
        <f>IF(A354="","",COUNTIF('Input Barang'!$B$2:$B$1000,A354))</f>
      </c>
      <c r="C354" s="4">
        <f>IF(A354="","",COUNTIF('Output Agus'!$B$2:$B$1000,A354))</f>
      </c>
      <c r="D354" s="4">
        <f>IF(A354="","",COUNTIF('Output Rexa'!$B$2:$B$1000,A354))</f>
      </c>
      <c r="E354" s="4">
        <f>IF(A354="","",B354-C354-D354)</f>
      </c>
    </row>
    <row r="355">
      <c r="A355" s="5">
        <f>IFERROR(INDEX('Input Barang'!$B$2:$B$1000,344),"")</f>
      </c>
      <c r="B355" s="4">
        <f>IF(A355="","",COUNTIF('Input Barang'!$B$2:$B$1000,A355))</f>
      </c>
      <c r="C355" s="4">
        <f>IF(A355="","",COUNTIF('Output Agus'!$B$2:$B$1000,A355))</f>
      </c>
      <c r="D355" s="4">
        <f>IF(A355="","",COUNTIF('Output Rexa'!$B$2:$B$1000,A355))</f>
      </c>
      <c r="E355" s="4">
        <f>IF(A355="","",B355-C355-D355)</f>
      </c>
    </row>
    <row r="356">
      <c r="A356" s="5">
        <f>IFERROR(INDEX('Input Barang'!$B$2:$B$1000,345),"")</f>
      </c>
      <c r="B356" s="4">
        <f>IF(A356="","",COUNTIF('Input Barang'!$B$2:$B$1000,A356))</f>
      </c>
      <c r="C356" s="4">
        <f>IF(A356="","",COUNTIF('Output Agus'!$B$2:$B$1000,A356))</f>
      </c>
      <c r="D356" s="4">
        <f>IF(A356="","",COUNTIF('Output Rexa'!$B$2:$B$1000,A356))</f>
      </c>
      <c r="E356" s="4">
        <f>IF(A356="","",B356-C356-D356)</f>
      </c>
    </row>
    <row r="357">
      <c r="A357" s="5">
        <f>IFERROR(INDEX('Input Barang'!$B$2:$B$1000,346),"")</f>
      </c>
      <c r="B357" s="4">
        <f>IF(A357="","",COUNTIF('Input Barang'!$B$2:$B$1000,A357))</f>
      </c>
      <c r="C357" s="4">
        <f>IF(A357="","",COUNTIF('Output Agus'!$B$2:$B$1000,A357))</f>
      </c>
      <c r="D357" s="4">
        <f>IF(A357="","",COUNTIF('Output Rexa'!$B$2:$B$1000,A357))</f>
      </c>
      <c r="E357" s="4">
        <f>IF(A357="","",B357-C357-D357)</f>
      </c>
    </row>
    <row r="358">
      <c r="A358" s="5">
        <f>IFERROR(INDEX('Input Barang'!$B$2:$B$1000,347),"")</f>
      </c>
      <c r="B358" s="4">
        <f>IF(A358="","",COUNTIF('Input Barang'!$B$2:$B$1000,A358))</f>
      </c>
      <c r="C358" s="4">
        <f>IF(A358="","",COUNTIF('Output Agus'!$B$2:$B$1000,A358))</f>
      </c>
      <c r="D358" s="4">
        <f>IF(A358="","",COUNTIF('Output Rexa'!$B$2:$B$1000,A358))</f>
      </c>
      <c r="E358" s="4">
        <f>IF(A358="","",B358-C358-D358)</f>
      </c>
    </row>
    <row r="359">
      <c r="A359" s="5">
        <f>IFERROR(INDEX('Input Barang'!$B$2:$B$1000,348),"")</f>
      </c>
      <c r="B359" s="4">
        <f>IF(A359="","",COUNTIF('Input Barang'!$B$2:$B$1000,A359))</f>
      </c>
      <c r="C359" s="4">
        <f>IF(A359="","",COUNTIF('Output Agus'!$B$2:$B$1000,A359))</f>
      </c>
      <c r="D359" s="4">
        <f>IF(A359="","",COUNTIF('Output Rexa'!$B$2:$B$1000,A359))</f>
      </c>
      <c r="E359" s="4">
        <f>IF(A359="","",B359-C359-D359)</f>
      </c>
    </row>
    <row r="360">
      <c r="A360" s="5">
        <f>IFERROR(INDEX('Input Barang'!$B$2:$B$1000,349),"")</f>
      </c>
      <c r="B360" s="4">
        <f>IF(A360="","",COUNTIF('Input Barang'!$B$2:$B$1000,A360))</f>
      </c>
      <c r="C360" s="4">
        <f>IF(A360="","",COUNTIF('Output Agus'!$B$2:$B$1000,A360))</f>
      </c>
      <c r="D360" s="4">
        <f>IF(A360="","",COUNTIF('Output Rexa'!$B$2:$B$1000,A360))</f>
      </c>
      <c r="E360" s="4">
        <f>IF(A360="","",B360-C360-D360)</f>
      </c>
    </row>
    <row r="361">
      <c r="A361" s="5">
        <f>IFERROR(INDEX('Input Barang'!$B$2:$B$1000,350),"")</f>
      </c>
      <c r="B361" s="4">
        <f>IF(A361="","",COUNTIF('Input Barang'!$B$2:$B$1000,A361))</f>
      </c>
      <c r="C361" s="4">
        <f>IF(A361="","",COUNTIF('Output Agus'!$B$2:$B$1000,A361))</f>
      </c>
      <c r="D361" s="4">
        <f>IF(A361="","",COUNTIF('Output Rexa'!$B$2:$B$1000,A361))</f>
      </c>
      <c r="E361" s="4">
        <f>IF(A361="","",B361-C361-D361)</f>
      </c>
    </row>
    <row r="362">
      <c r="A362" s="5">
        <f>IFERROR(INDEX('Input Barang'!$B$2:$B$1000,351),"")</f>
      </c>
      <c r="B362" s="4">
        <f>IF(A362="","",COUNTIF('Input Barang'!$B$2:$B$1000,A362))</f>
      </c>
      <c r="C362" s="4">
        <f>IF(A362="","",COUNTIF('Output Agus'!$B$2:$B$1000,A362))</f>
      </c>
      <c r="D362" s="4">
        <f>IF(A362="","",COUNTIF('Output Rexa'!$B$2:$B$1000,A362))</f>
      </c>
      <c r="E362" s="4">
        <f>IF(A362="","",B362-C362-D362)</f>
      </c>
    </row>
    <row r="363">
      <c r="A363" s="5">
        <f>IFERROR(INDEX('Input Barang'!$B$2:$B$1000,352),"")</f>
      </c>
      <c r="B363" s="4">
        <f>IF(A363="","",COUNTIF('Input Barang'!$B$2:$B$1000,A363))</f>
      </c>
      <c r="C363" s="4">
        <f>IF(A363="","",COUNTIF('Output Agus'!$B$2:$B$1000,A363))</f>
      </c>
      <c r="D363" s="4">
        <f>IF(A363="","",COUNTIF('Output Rexa'!$B$2:$B$1000,A363))</f>
      </c>
      <c r="E363" s="4">
        <f>IF(A363="","",B363-C363-D363)</f>
      </c>
    </row>
    <row r="364">
      <c r="A364" s="5">
        <f>IFERROR(INDEX('Input Barang'!$B$2:$B$1000,353),"")</f>
      </c>
      <c r="B364" s="4">
        <f>IF(A364="","",COUNTIF('Input Barang'!$B$2:$B$1000,A364))</f>
      </c>
      <c r="C364" s="4">
        <f>IF(A364="","",COUNTIF('Output Agus'!$B$2:$B$1000,A364))</f>
      </c>
      <c r="D364" s="4">
        <f>IF(A364="","",COUNTIF('Output Rexa'!$B$2:$B$1000,A364))</f>
      </c>
      <c r="E364" s="4">
        <f>IF(A364="","",B364-C364-D364)</f>
      </c>
    </row>
    <row r="365">
      <c r="A365" s="5">
        <f>IFERROR(INDEX('Input Barang'!$B$2:$B$1000,354),"")</f>
      </c>
      <c r="B365" s="4">
        <f>IF(A365="","",COUNTIF('Input Barang'!$B$2:$B$1000,A365))</f>
      </c>
      <c r="C365" s="4">
        <f>IF(A365="","",COUNTIF('Output Agus'!$B$2:$B$1000,A365))</f>
      </c>
      <c r="D365" s="4">
        <f>IF(A365="","",COUNTIF('Output Rexa'!$B$2:$B$1000,A365))</f>
      </c>
      <c r="E365" s="4">
        <f>IF(A365="","",B365-C365-D365)</f>
      </c>
    </row>
    <row r="366">
      <c r="A366" s="5">
        <f>IFERROR(INDEX('Input Barang'!$B$2:$B$1000,355),"")</f>
      </c>
      <c r="B366" s="4">
        <f>IF(A366="","",COUNTIF('Input Barang'!$B$2:$B$1000,A366))</f>
      </c>
      <c r="C366" s="4">
        <f>IF(A366="","",COUNTIF('Output Agus'!$B$2:$B$1000,A366))</f>
      </c>
      <c r="D366" s="4">
        <f>IF(A366="","",COUNTIF('Output Rexa'!$B$2:$B$1000,A366))</f>
      </c>
      <c r="E366" s="4">
        <f>IF(A366="","",B366-C366-D366)</f>
      </c>
    </row>
    <row r="367">
      <c r="A367" s="5">
        <f>IFERROR(INDEX('Input Barang'!$B$2:$B$1000,356),"")</f>
      </c>
      <c r="B367" s="4">
        <f>IF(A367="","",COUNTIF('Input Barang'!$B$2:$B$1000,A367))</f>
      </c>
      <c r="C367" s="4">
        <f>IF(A367="","",COUNTIF('Output Agus'!$B$2:$B$1000,A367))</f>
      </c>
      <c r="D367" s="4">
        <f>IF(A367="","",COUNTIF('Output Rexa'!$B$2:$B$1000,A367))</f>
      </c>
      <c r="E367" s="4">
        <f>IF(A367="","",B367-C367-D367)</f>
      </c>
    </row>
    <row r="368">
      <c r="A368" s="5">
        <f>IFERROR(INDEX('Input Barang'!$B$2:$B$1000,357),"")</f>
      </c>
      <c r="B368" s="4">
        <f>IF(A368="","",COUNTIF('Input Barang'!$B$2:$B$1000,A368))</f>
      </c>
      <c r="C368" s="4">
        <f>IF(A368="","",COUNTIF('Output Agus'!$B$2:$B$1000,A368))</f>
      </c>
      <c r="D368" s="4">
        <f>IF(A368="","",COUNTIF('Output Rexa'!$B$2:$B$1000,A368))</f>
      </c>
      <c r="E368" s="4">
        <f>IF(A368="","",B368-C368-D368)</f>
      </c>
    </row>
    <row r="369">
      <c r="A369" s="5">
        <f>IFERROR(INDEX('Input Barang'!$B$2:$B$1000,358),"")</f>
      </c>
      <c r="B369" s="4">
        <f>IF(A369="","",COUNTIF('Input Barang'!$B$2:$B$1000,A369))</f>
      </c>
      <c r="C369" s="4">
        <f>IF(A369="","",COUNTIF('Output Agus'!$B$2:$B$1000,A369))</f>
      </c>
      <c r="D369" s="4">
        <f>IF(A369="","",COUNTIF('Output Rexa'!$B$2:$B$1000,A369))</f>
      </c>
      <c r="E369" s="4">
        <f>IF(A369="","",B369-C369-D369)</f>
      </c>
    </row>
    <row r="370">
      <c r="A370" s="5">
        <f>IFERROR(INDEX('Input Barang'!$B$2:$B$1000,359),"")</f>
      </c>
      <c r="B370" s="4">
        <f>IF(A370="","",COUNTIF('Input Barang'!$B$2:$B$1000,A370))</f>
      </c>
      <c r="C370" s="4">
        <f>IF(A370="","",COUNTIF('Output Agus'!$B$2:$B$1000,A370))</f>
      </c>
      <c r="D370" s="4">
        <f>IF(A370="","",COUNTIF('Output Rexa'!$B$2:$B$1000,A370))</f>
      </c>
      <c r="E370" s="4">
        <f>IF(A370="","",B370-C370-D370)</f>
      </c>
    </row>
    <row r="371">
      <c r="A371" s="5">
        <f>IFERROR(INDEX('Input Barang'!$B$2:$B$1000,360),"")</f>
      </c>
      <c r="B371" s="4">
        <f>IF(A371="","",COUNTIF('Input Barang'!$B$2:$B$1000,A371))</f>
      </c>
      <c r="C371" s="4">
        <f>IF(A371="","",COUNTIF('Output Agus'!$B$2:$B$1000,A371))</f>
      </c>
      <c r="D371" s="4">
        <f>IF(A371="","",COUNTIF('Output Rexa'!$B$2:$B$1000,A371))</f>
      </c>
      <c r="E371" s="4">
        <f>IF(A371="","",B371-C371-D371)</f>
      </c>
    </row>
    <row r="372">
      <c r="A372" s="5">
        <f>IFERROR(INDEX('Input Barang'!$B$2:$B$1000,361),"")</f>
      </c>
      <c r="B372" s="4">
        <f>IF(A372="","",COUNTIF('Input Barang'!$B$2:$B$1000,A372))</f>
      </c>
      <c r="C372" s="4">
        <f>IF(A372="","",COUNTIF('Output Agus'!$B$2:$B$1000,A372))</f>
      </c>
      <c r="D372" s="4">
        <f>IF(A372="","",COUNTIF('Output Rexa'!$B$2:$B$1000,A372))</f>
      </c>
      <c r="E372" s="4">
        <f>IF(A372="","",B372-C372-D372)</f>
      </c>
    </row>
    <row r="373">
      <c r="A373" s="5">
        <f>IFERROR(INDEX('Input Barang'!$B$2:$B$1000,362),"")</f>
      </c>
      <c r="B373" s="4">
        <f>IF(A373="","",COUNTIF('Input Barang'!$B$2:$B$1000,A373))</f>
      </c>
      <c r="C373" s="4">
        <f>IF(A373="","",COUNTIF('Output Agus'!$B$2:$B$1000,A373))</f>
      </c>
      <c r="D373" s="4">
        <f>IF(A373="","",COUNTIF('Output Rexa'!$B$2:$B$1000,A373))</f>
      </c>
      <c r="E373" s="4">
        <f>IF(A373="","",B373-C373-D373)</f>
      </c>
    </row>
    <row r="374">
      <c r="A374" s="5">
        <f>IFERROR(INDEX('Input Barang'!$B$2:$B$1000,363),"")</f>
      </c>
      <c r="B374" s="4">
        <f>IF(A374="","",COUNTIF('Input Barang'!$B$2:$B$1000,A374))</f>
      </c>
      <c r="C374" s="4">
        <f>IF(A374="","",COUNTIF('Output Agus'!$B$2:$B$1000,A374))</f>
      </c>
      <c r="D374" s="4">
        <f>IF(A374="","",COUNTIF('Output Rexa'!$B$2:$B$1000,A374))</f>
      </c>
      <c r="E374" s="4">
        <f>IF(A374="","",B374-C374-D374)</f>
      </c>
    </row>
    <row r="375">
      <c r="A375" s="5">
        <f>IFERROR(INDEX('Input Barang'!$B$2:$B$1000,364),"")</f>
      </c>
      <c r="B375" s="4">
        <f>IF(A375="","",COUNTIF('Input Barang'!$B$2:$B$1000,A375))</f>
      </c>
      <c r="C375" s="4">
        <f>IF(A375="","",COUNTIF('Output Agus'!$B$2:$B$1000,A375))</f>
      </c>
      <c r="D375" s="4">
        <f>IF(A375="","",COUNTIF('Output Rexa'!$B$2:$B$1000,A375))</f>
      </c>
      <c r="E375" s="4">
        <f>IF(A375="","",B375-C375-D375)</f>
      </c>
    </row>
    <row r="376">
      <c r="A376" s="5">
        <f>IFERROR(INDEX('Input Barang'!$B$2:$B$1000,365),"")</f>
      </c>
      <c r="B376" s="4">
        <f>IF(A376="","",COUNTIF('Input Barang'!$B$2:$B$1000,A376))</f>
      </c>
      <c r="C376" s="4">
        <f>IF(A376="","",COUNTIF('Output Agus'!$B$2:$B$1000,A376))</f>
      </c>
      <c r="D376" s="4">
        <f>IF(A376="","",COUNTIF('Output Rexa'!$B$2:$B$1000,A376))</f>
      </c>
      <c r="E376" s="4">
        <f>IF(A376="","",B376-C376-D376)</f>
      </c>
    </row>
    <row r="377">
      <c r="A377" s="5">
        <f>IFERROR(INDEX('Input Barang'!$B$2:$B$1000,366),"")</f>
      </c>
      <c r="B377" s="4">
        <f>IF(A377="","",COUNTIF('Input Barang'!$B$2:$B$1000,A377))</f>
      </c>
      <c r="C377" s="4">
        <f>IF(A377="","",COUNTIF('Output Agus'!$B$2:$B$1000,A377))</f>
      </c>
      <c r="D377" s="4">
        <f>IF(A377="","",COUNTIF('Output Rexa'!$B$2:$B$1000,A377))</f>
      </c>
      <c r="E377" s="4">
        <f>IF(A377="","",B377-C377-D377)</f>
      </c>
    </row>
    <row r="378">
      <c r="A378" s="5">
        <f>IFERROR(INDEX('Input Barang'!$B$2:$B$1000,367),"")</f>
      </c>
      <c r="B378" s="4">
        <f>IF(A378="","",COUNTIF('Input Barang'!$B$2:$B$1000,A378))</f>
      </c>
      <c r="C378" s="4">
        <f>IF(A378="","",COUNTIF('Output Agus'!$B$2:$B$1000,A378))</f>
      </c>
      <c r="D378" s="4">
        <f>IF(A378="","",COUNTIF('Output Rexa'!$B$2:$B$1000,A378))</f>
      </c>
      <c r="E378" s="4">
        <f>IF(A378="","",B378-C378-D378)</f>
      </c>
    </row>
    <row r="379">
      <c r="A379" s="5">
        <f>IFERROR(INDEX('Input Barang'!$B$2:$B$1000,368),"")</f>
      </c>
      <c r="B379" s="4">
        <f>IF(A379="","",COUNTIF('Input Barang'!$B$2:$B$1000,A379))</f>
      </c>
      <c r="C379" s="4">
        <f>IF(A379="","",COUNTIF('Output Agus'!$B$2:$B$1000,A379))</f>
      </c>
      <c r="D379" s="4">
        <f>IF(A379="","",COUNTIF('Output Rexa'!$B$2:$B$1000,A379))</f>
      </c>
      <c r="E379" s="4">
        <f>IF(A379="","",B379-C379-D379)</f>
      </c>
    </row>
    <row r="380">
      <c r="A380" s="5">
        <f>IFERROR(INDEX('Input Barang'!$B$2:$B$1000,369),"")</f>
      </c>
      <c r="B380" s="4">
        <f>IF(A380="","",COUNTIF('Input Barang'!$B$2:$B$1000,A380))</f>
      </c>
      <c r="C380" s="4">
        <f>IF(A380="","",COUNTIF('Output Agus'!$B$2:$B$1000,A380))</f>
      </c>
      <c r="D380" s="4">
        <f>IF(A380="","",COUNTIF('Output Rexa'!$B$2:$B$1000,A380))</f>
      </c>
      <c r="E380" s="4">
        <f>IF(A380="","",B380-C380-D380)</f>
      </c>
    </row>
    <row r="381">
      <c r="A381" s="5">
        <f>IFERROR(INDEX('Input Barang'!$B$2:$B$1000,370),"")</f>
      </c>
      <c r="B381" s="4">
        <f>IF(A381="","",COUNTIF('Input Barang'!$B$2:$B$1000,A381))</f>
      </c>
      <c r="C381" s="4">
        <f>IF(A381="","",COUNTIF('Output Agus'!$B$2:$B$1000,A381))</f>
      </c>
      <c r="D381" s="4">
        <f>IF(A381="","",COUNTIF('Output Rexa'!$B$2:$B$1000,A381))</f>
      </c>
      <c r="E381" s="4">
        <f>IF(A381="","",B381-C381-D381)</f>
      </c>
    </row>
    <row r="382">
      <c r="A382" s="5">
        <f>IFERROR(INDEX('Input Barang'!$B$2:$B$1000,371),"")</f>
      </c>
      <c r="B382" s="4">
        <f>IF(A382="","",COUNTIF('Input Barang'!$B$2:$B$1000,A382))</f>
      </c>
      <c r="C382" s="4">
        <f>IF(A382="","",COUNTIF('Output Agus'!$B$2:$B$1000,A382))</f>
      </c>
      <c r="D382" s="4">
        <f>IF(A382="","",COUNTIF('Output Rexa'!$B$2:$B$1000,A382))</f>
      </c>
      <c r="E382" s="4">
        <f>IF(A382="","",B382-C382-D382)</f>
      </c>
    </row>
    <row r="383">
      <c r="A383" s="5">
        <f>IFERROR(INDEX('Input Barang'!$B$2:$B$1000,372),"")</f>
      </c>
      <c r="B383" s="4">
        <f>IF(A383="","",COUNTIF('Input Barang'!$B$2:$B$1000,A383))</f>
      </c>
      <c r="C383" s="4">
        <f>IF(A383="","",COUNTIF('Output Agus'!$B$2:$B$1000,A383))</f>
      </c>
      <c r="D383" s="4">
        <f>IF(A383="","",COUNTIF('Output Rexa'!$B$2:$B$1000,A383))</f>
      </c>
      <c r="E383" s="4">
        <f>IF(A383="","",B383-C383-D383)</f>
      </c>
    </row>
    <row r="384">
      <c r="A384" s="5">
        <f>IFERROR(INDEX('Input Barang'!$B$2:$B$1000,373),"")</f>
      </c>
      <c r="B384" s="4">
        <f>IF(A384="","",COUNTIF('Input Barang'!$B$2:$B$1000,A384))</f>
      </c>
      <c r="C384" s="4">
        <f>IF(A384="","",COUNTIF('Output Agus'!$B$2:$B$1000,A384))</f>
      </c>
      <c r="D384" s="4">
        <f>IF(A384="","",COUNTIF('Output Rexa'!$B$2:$B$1000,A384))</f>
      </c>
      <c r="E384" s="4">
        <f>IF(A384="","",B384-C384-D384)</f>
      </c>
    </row>
    <row r="385">
      <c r="A385" s="5">
        <f>IFERROR(INDEX('Input Barang'!$B$2:$B$1000,374),"")</f>
      </c>
      <c r="B385" s="4">
        <f>IF(A385="","",COUNTIF('Input Barang'!$B$2:$B$1000,A385))</f>
      </c>
      <c r="C385" s="4">
        <f>IF(A385="","",COUNTIF('Output Agus'!$B$2:$B$1000,A385))</f>
      </c>
      <c r="D385" s="4">
        <f>IF(A385="","",COUNTIF('Output Rexa'!$B$2:$B$1000,A385))</f>
      </c>
      <c r="E385" s="4">
        <f>IF(A385="","",B385-C385-D385)</f>
      </c>
    </row>
    <row r="386">
      <c r="A386" s="5">
        <f>IFERROR(INDEX('Input Barang'!$B$2:$B$1000,375),"")</f>
      </c>
      <c r="B386" s="4">
        <f>IF(A386="","",COUNTIF('Input Barang'!$B$2:$B$1000,A386))</f>
      </c>
      <c r="C386" s="4">
        <f>IF(A386="","",COUNTIF('Output Agus'!$B$2:$B$1000,A386))</f>
      </c>
      <c r="D386" s="4">
        <f>IF(A386="","",COUNTIF('Output Rexa'!$B$2:$B$1000,A386))</f>
      </c>
      <c r="E386" s="4">
        <f>IF(A386="","",B386-C386-D386)</f>
      </c>
    </row>
    <row r="387">
      <c r="A387" s="5">
        <f>IFERROR(INDEX('Input Barang'!$B$2:$B$1000,376),"")</f>
      </c>
      <c r="B387" s="4">
        <f>IF(A387="","",COUNTIF('Input Barang'!$B$2:$B$1000,A387))</f>
      </c>
      <c r="C387" s="4">
        <f>IF(A387="","",COUNTIF('Output Agus'!$B$2:$B$1000,A387))</f>
      </c>
      <c r="D387" s="4">
        <f>IF(A387="","",COUNTIF('Output Rexa'!$B$2:$B$1000,A387))</f>
      </c>
      <c r="E387" s="4">
        <f>IF(A387="","",B387-C387-D387)</f>
      </c>
    </row>
    <row r="388">
      <c r="A388" s="5">
        <f>IFERROR(INDEX('Input Barang'!$B$2:$B$1000,377),"")</f>
      </c>
      <c r="B388" s="4">
        <f>IF(A388="","",COUNTIF('Input Barang'!$B$2:$B$1000,A388))</f>
      </c>
      <c r="C388" s="4">
        <f>IF(A388="","",COUNTIF('Output Agus'!$B$2:$B$1000,A388))</f>
      </c>
      <c r="D388" s="4">
        <f>IF(A388="","",COUNTIF('Output Rexa'!$B$2:$B$1000,A388))</f>
      </c>
      <c r="E388" s="4">
        <f>IF(A388="","",B388-C388-D388)</f>
      </c>
    </row>
    <row r="389">
      <c r="A389" s="5">
        <f>IFERROR(INDEX('Input Barang'!$B$2:$B$1000,378),"")</f>
      </c>
      <c r="B389" s="4">
        <f>IF(A389="","",COUNTIF('Input Barang'!$B$2:$B$1000,A389))</f>
      </c>
      <c r="C389" s="4">
        <f>IF(A389="","",COUNTIF('Output Agus'!$B$2:$B$1000,A389))</f>
      </c>
      <c r="D389" s="4">
        <f>IF(A389="","",COUNTIF('Output Rexa'!$B$2:$B$1000,A389))</f>
      </c>
      <c r="E389" s="4">
        <f>IF(A389="","",B389-C389-D389)</f>
      </c>
    </row>
    <row r="390">
      <c r="A390" s="5">
        <f>IFERROR(INDEX('Input Barang'!$B$2:$B$1000,379),"")</f>
      </c>
      <c r="B390" s="4">
        <f>IF(A390="","",COUNTIF('Input Barang'!$B$2:$B$1000,A390))</f>
      </c>
      <c r="C390" s="4">
        <f>IF(A390="","",COUNTIF('Output Agus'!$B$2:$B$1000,A390))</f>
      </c>
      <c r="D390" s="4">
        <f>IF(A390="","",COUNTIF('Output Rexa'!$B$2:$B$1000,A390))</f>
      </c>
      <c r="E390" s="4">
        <f>IF(A390="","",B390-C390-D390)</f>
      </c>
    </row>
    <row r="391">
      <c r="A391" s="5">
        <f>IFERROR(INDEX('Input Barang'!$B$2:$B$1000,380),"")</f>
      </c>
      <c r="B391" s="4">
        <f>IF(A391="","",COUNTIF('Input Barang'!$B$2:$B$1000,A391))</f>
      </c>
      <c r="C391" s="4">
        <f>IF(A391="","",COUNTIF('Output Agus'!$B$2:$B$1000,A391))</f>
      </c>
      <c r="D391" s="4">
        <f>IF(A391="","",COUNTIF('Output Rexa'!$B$2:$B$1000,A391))</f>
      </c>
      <c r="E391" s="4">
        <f>IF(A391="","",B391-C391-D391)</f>
      </c>
    </row>
    <row r="392">
      <c r="A392" s="5">
        <f>IFERROR(INDEX('Input Barang'!$B$2:$B$1000,381),"")</f>
      </c>
      <c r="B392" s="4">
        <f>IF(A392="","",COUNTIF('Input Barang'!$B$2:$B$1000,A392))</f>
      </c>
      <c r="C392" s="4">
        <f>IF(A392="","",COUNTIF('Output Agus'!$B$2:$B$1000,A392))</f>
      </c>
      <c r="D392" s="4">
        <f>IF(A392="","",COUNTIF('Output Rexa'!$B$2:$B$1000,A392))</f>
      </c>
      <c r="E392" s="4">
        <f>IF(A392="","",B392-C392-D392)</f>
      </c>
    </row>
    <row r="393">
      <c r="A393" s="5">
        <f>IFERROR(INDEX('Input Barang'!$B$2:$B$1000,382),"")</f>
      </c>
      <c r="B393" s="4">
        <f>IF(A393="","",COUNTIF('Input Barang'!$B$2:$B$1000,A393))</f>
      </c>
      <c r="C393" s="4">
        <f>IF(A393="","",COUNTIF('Output Agus'!$B$2:$B$1000,A393))</f>
      </c>
      <c r="D393" s="4">
        <f>IF(A393="","",COUNTIF('Output Rexa'!$B$2:$B$1000,A393))</f>
      </c>
      <c r="E393" s="4">
        <f>IF(A393="","",B393-C393-D393)</f>
      </c>
    </row>
    <row r="394">
      <c r="A394" s="5">
        <f>IFERROR(INDEX('Input Barang'!$B$2:$B$1000,383),"")</f>
      </c>
      <c r="B394" s="4">
        <f>IF(A394="","",COUNTIF('Input Barang'!$B$2:$B$1000,A394))</f>
      </c>
      <c r="C394" s="4">
        <f>IF(A394="","",COUNTIF('Output Agus'!$B$2:$B$1000,A394))</f>
      </c>
      <c r="D394" s="4">
        <f>IF(A394="","",COUNTIF('Output Rexa'!$B$2:$B$1000,A394))</f>
      </c>
      <c r="E394" s="4">
        <f>IF(A394="","",B394-C394-D394)</f>
      </c>
    </row>
    <row r="395">
      <c r="A395" s="5">
        <f>IFERROR(INDEX('Input Barang'!$B$2:$B$1000,384),"")</f>
      </c>
      <c r="B395" s="4">
        <f>IF(A395="","",COUNTIF('Input Barang'!$B$2:$B$1000,A395))</f>
      </c>
      <c r="C395" s="4">
        <f>IF(A395="","",COUNTIF('Output Agus'!$B$2:$B$1000,A395))</f>
      </c>
      <c r="D395" s="4">
        <f>IF(A395="","",COUNTIF('Output Rexa'!$B$2:$B$1000,A395))</f>
      </c>
      <c r="E395" s="4">
        <f>IF(A395="","",B395-C395-D395)</f>
      </c>
    </row>
    <row r="396">
      <c r="A396" s="5">
        <f>IFERROR(INDEX('Input Barang'!$B$2:$B$1000,385),"")</f>
      </c>
      <c r="B396" s="4">
        <f>IF(A396="","",COUNTIF('Input Barang'!$B$2:$B$1000,A396))</f>
      </c>
      <c r="C396" s="4">
        <f>IF(A396="","",COUNTIF('Output Agus'!$B$2:$B$1000,A396))</f>
      </c>
      <c r="D396" s="4">
        <f>IF(A396="","",COUNTIF('Output Rexa'!$B$2:$B$1000,A396))</f>
      </c>
      <c r="E396" s="4">
        <f>IF(A396="","",B396-C396-D396)</f>
      </c>
    </row>
    <row r="397">
      <c r="A397" s="5">
        <f>IFERROR(INDEX('Input Barang'!$B$2:$B$1000,386),"")</f>
      </c>
      <c r="B397" s="4">
        <f>IF(A397="","",COUNTIF('Input Barang'!$B$2:$B$1000,A397))</f>
      </c>
      <c r="C397" s="4">
        <f>IF(A397="","",COUNTIF('Output Agus'!$B$2:$B$1000,A397))</f>
      </c>
      <c r="D397" s="4">
        <f>IF(A397="","",COUNTIF('Output Rexa'!$B$2:$B$1000,A397))</f>
      </c>
      <c r="E397" s="4">
        <f>IF(A397="","",B397-C397-D397)</f>
      </c>
    </row>
    <row r="398">
      <c r="A398" s="5">
        <f>IFERROR(INDEX('Input Barang'!$B$2:$B$1000,387),"")</f>
      </c>
      <c r="B398" s="4">
        <f>IF(A398="","",COUNTIF('Input Barang'!$B$2:$B$1000,A398))</f>
      </c>
      <c r="C398" s="4">
        <f>IF(A398="","",COUNTIF('Output Agus'!$B$2:$B$1000,A398))</f>
      </c>
      <c r="D398" s="4">
        <f>IF(A398="","",COUNTIF('Output Rexa'!$B$2:$B$1000,A398))</f>
      </c>
      <c r="E398" s="4">
        <f>IF(A398="","",B398-C398-D398)</f>
      </c>
    </row>
    <row r="399">
      <c r="A399" s="5">
        <f>IFERROR(INDEX('Input Barang'!$B$2:$B$1000,388),"")</f>
      </c>
      <c r="B399" s="4">
        <f>IF(A399="","",COUNTIF('Input Barang'!$B$2:$B$1000,A399))</f>
      </c>
      <c r="C399" s="4">
        <f>IF(A399="","",COUNTIF('Output Agus'!$B$2:$B$1000,A399))</f>
      </c>
      <c r="D399" s="4">
        <f>IF(A399="","",COUNTIF('Output Rexa'!$B$2:$B$1000,A399))</f>
      </c>
      <c r="E399" s="4">
        <f>IF(A399="","",B399-C399-D399)</f>
      </c>
    </row>
    <row r="400">
      <c r="A400" s="5">
        <f>IFERROR(INDEX('Input Barang'!$B$2:$B$1000,389),"")</f>
      </c>
      <c r="B400" s="4">
        <f>IF(A400="","",COUNTIF('Input Barang'!$B$2:$B$1000,A400))</f>
      </c>
      <c r="C400" s="4">
        <f>IF(A400="","",COUNTIF('Output Agus'!$B$2:$B$1000,A400))</f>
      </c>
      <c r="D400" s="4">
        <f>IF(A400="","",COUNTIF('Output Rexa'!$B$2:$B$1000,A400))</f>
      </c>
      <c r="E400" s="4">
        <f>IF(A400="","",B400-C400-D400)</f>
      </c>
    </row>
    <row r="401">
      <c r="A401" s="5">
        <f>IFERROR(INDEX('Input Barang'!$B$2:$B$1000,390),"")</f>
      </c>
      <c r="B401" s="4">
        <f>IF(A401="","",COUNTIF('Input Barang'!$B$2:$B$1000,A401))</f>
      </c>
      <c r="C401" s="4">
        <f>IF(A401="","",COUNTIF('Output Agus'!$B$2:$B$1000,A401))</f>
      </c>
      <c r="D401" s="4">
        <f>IF(A401="","",COUNTIF('Output Rexa'!$B$2:$B$1000,A401))</f>
      </c>
      <c r="E401" s="4">
        <f>IF(A401="","",B401-C401-D401)</f>
      </c>
    </row>
    <row r="402">
      <c r="A402" s="5">
        <f>IFERROR(INDEX('Input Barang'!$B$2:$B$1000,391),"")</f>
      </c>
      <c r="B402" s="4">
        <f>IF(A402="","",COUNTIF('Input Barang'!$B$2:$B$1000,A402))</f>
      </c>
      <c r="C402" s="4">
        <f>IF(A402="","",COUNTIF('Output Agus'!$B$2:$B$1000,A402))</f>
      </c>
      <c r="D402" s="4">
        <f>IF(A402="","",COUNTIF('Output Rexa'!$B$2:$B$1000,A402))</f>
      </c>
      <c r="E402" s="4">
        <f>IF(A402="","",B402-C402-D402)</f>
      </c>
    </row>
    <row r="403">
      <c r="A403" s="5">
        <f>IFERROR(INDEX('Input Barang'!$B$2:$B$1000,392),"")</f>
      </c>
      <c r="B403" s="4">
        <f>IF(A403="","",COUNTIF('Input Barang'!$B$2:$B$1000,A403))</f>
      </c>
      <c r="C403" s="4">
        <f>IF(A403="","",COUNTIF('Output Agus'!$B$2:$B$1000,A403))</f>
      </c>
      <c r="D403" s="4">
        <f>IF(A403="","",COUNTIF('Output Rexa'!$B$2:$B$1000,A403))</f>
      </c>
      <c r="E403" s="4">
        <f>IF(A403="","",B403-C403-D403)</f>
      </c>
    </row>
    <row r="404">
      <c r="A404" s="5">
        <f>IFERROR(INDEX('Input Barang'!$B$2:$B$1000,393),"")</f>
      </c>
      <c r="B404" s="4">
        <f>IF(A404="","",COUNTIF('Input Barang'!$B$2:$B$1000,A404))</f>
      </c>
      <c r="C404" s="4">
        <f>IF(A404="","",COUNTIF('Output Agus'!$B$2:$B$1000,A404))</f>
      </c>
      <c r="D404" s="4">
        <f>IF(A404="","",COUNTIF('Output Rexa'!$B$2:$B$1000,A404))</f>
      </c>
      <c r="E404" s="4">
        <f>IF(A404="","",B404-C404-D404)</f>
      </c>
    </row>
    <row r="405">
      <c r="A405" s="5">
        <f>IFERROR(INDEX('Input Barang'!$B$2:$B$1000,394),"")</f>
      </c>
      <c r="B405" s="4">
        <f>IF(A405="","",COUNTIF('Input Barang'!$B$2:$B$1000,A405))</f>
      </c>
      <c r="C405" s="4">
        <f>IF(A405="","",COUNTIF('Output Agus'!$B$2:$B$1000,A405))</f>
      </c>
      <c r="D405" s="4">
        <f>IF(A405="","",COUNTIF('Output Rexa'!$B$2:$B$1000,A405))</f>
      </c>
      <c r="E405" s="4">
        <f>IF(A405="","",B405-C405-D405)</f>
      </c>
    </row>
    <row r="406">
      <c r="A406" s="5">
        <f>IFERROR(INDEX('Input Barang'!$B$2:$B$1000,395),"")</f>
      </c>
      <c r="B406" s="4">
        <f>IF(A406="","",COUNTIF('Input Barang'!$B$2:$B$1000,A406))</f>
      </c>
      <c r="C406" s="4">
        <f>IF(A406="","",COUNTIF('Output Agus'!$B$2:$B$1000,A406))</f>
      </c>
      <c r="D406" s="4">
        <f>IF(A406="","",COUNTIF('Output Rexa'!$B$2:$B$1000,A406))</f>
      </c>
      <c r="E406" s="4">
        <f>IF(A406="","",B406-C406-D406)</f>
      </c>
    </row>
    <row r="407">
      <c r="A407" s="5">
        <f>IFERROR(INDEX('Input Barang'!$B$2:$B$1000,396),"")</f>
      </c>
      <c r="B407" s="4">
        <f>IF(A407="","",COUNTIF('Input Barang'!$B$2:$B$1000,A407))</f>
      </c>
      <c r="C407" s="4">
        <f>IF(A407="","",COUNTIF('Output Agus'!$B$2:$B$1000,A407))</f>
      </c>
      <c r="D407" s="4">
        <f>IF(A407="","",COUNTIF('Output Rexa'!$B$2:$B$1000,A407))</f>
      </c>
      <c r="E407" s="4">
        <f>IF(A407="","",B407-C407-D407)</f>
      </c>
    </row>
    <row r="408">
      <c r="A408" s="5">
        <f>IFERROR(INDEX('Input Barang'!$B$2:$B$1000,397),"")</f>
      </c>
      <c r="B408" s="4">
        <f>IF(A408="","",COUNTIF('Input Barang'!$B$2:$B$1000,A408))</f>
      </c>
      <c r="C408" s="4">
        <f>IF(A408="","",COUNTIF('Output Agus'!$B$2:$B$1000,A408))</f>
      </c>
      <c r="D408" s="4">
        <f>IF(A408="","",COUNTIF('Output Rexa'!$B$2:$B$1000,A408))</f>
      </c>
      <c r="E408" s="4">
        <f>IF(A408="","",B408-C408-D408)</f>
      </c>
    </row>
    <row r="409">
      <c r="A409" s="5">
        <f>IFERROR(INDEX('Input Barang'!$B$2:$B$1000,398),"")</f>
      </c>
      <c r="B409" s="4">
        <f>IF(A409="","",COUNTIF('Input Barang'!$B$2:$B$1000,A409))</f>
      </c>
      <c r="C409" s="4">
        <f>IF(A409="","",COUNTIF('Output Agus'!$B$2:$B$1000,A409))</f>
      </c>
      <c r="D409" s="4">
        <f>IF(A409="","",COUNTIF('Output Rexa'!$B$2:$B$1000,A409))</f>
      </c>
      <c r="E409" s="4">
        <f>IF(A409="","",B409-C409-D409)</f>
      </c>
    </row>
    <row r="410">
      <c r="A410" s="5">
        <f>IFERROR(INDEX('Input Barang'!$B$2:$B$1000,399),"")</f>
      </c>
      <c r="B410" s="4">
        <f>IF(A410="","",COUNTIF('Input Barang'!$B$2:$B$1000,A410))</f>
      </c>
      <c r="C410" s="4">
        <f>IF(A410="","",COUNTIF('Output Agus'!$B$2:$B$1000,A410))</f>
      </c>
      <c r="D410" s="4">
        <f>IF(A410="","",COUNTIF('Output Rexa'!$B$2:$B$1000,A410))</f>
      </c>
      <c r="E410" s="4">
        <f>IF(A410="","",B410-C410-D410)</f>
      </c>
    </row>
    <row r="411">
      <c r="A411" s="5">
        <f>IFERROR(INDEX('Input Barang'!$B$2:$B$1000,400),"")</f>
      </c>
      <c r="B411" s="4">
        <f>IF(A411="","",COUNTIF('Input Barang'!$B$2:$B$1000,A411))</f>
      </c>
      <c r="C411" s="4">
        <f>IF(A411="","",COUNTIF('Output Agus'!$B$2:$B$1000,A411))</f>
      </c>
      <c r="D411" s="4">
        <f>IF(A411="","",COUNTIF('Output Rexa'!$B$2:$B$1000,A411))</f>
      </c>
      <c r="E411" s="4">
        <f>IF(A411="","",B411-C411-D411)</f>
      </c>
    </row>
    <row r="412">
      <c r="A412" s="5">
        <f>IFERROR(INDEX('Input Barang'!$B$2:$B$1000,401),"")</f>
      </c>
      <c r="B412" s="4">
        <f>IF(A412="","",COUNTIF('Input Barang'!$B$2:$B$1000,A412))</f>
      </c>
      <c r="C412" s="4">
        <f>IF(A412="","",COUNTIF('Output Agus'!$B$2:$B$1000,A412))</f>
      </c>
      <c r="D412" s="4">
        <f>IF(A412="","",COUNTIF('Output Rexa'!$B$2:$B$1000,A412))</f>
      </c>
      <c r="E412" s="4">
        <f>IF(A412="","",B412-C412-D412)</f>
      </c>
    </row>
    <row r="413">
      <c r="A413" s="5">
        <f>IFERROR(INDEX('Input Barang'!$B$2:$B$1000,402),"")</f>
      </c>
      <c r="B413" s="4">
        <f>IF(A413="","",COUNTIF('Input Barang'!$B$2:$B$1000,A413))</f>
      </c>
      <c r="C413" s="4">
        <f>IF(A413="","",COUNTIF('Output Agus'!$B$2:$B$1000,A413))</f>
      </c>
      <c r="D413" s="4">
        <f>IF(A413="","",COUNTIF('Output Rexa'!$B$2:$B$1000,A413))</f>
      </c>
      <c r="E413" s="4">
        <f>IF(A413="","",B413-C413-D413)</f>
      </c>
    </row>
    <row r="414">
      <c r="A414" s="5">
        <f>IFERROR(INDEX('Input Barang'!$B$2:$B$1000,403),"")</f>
      </c>
      <c r="B414" s="4">
        <f>IF(A414="","",COUNTIF('Input Barang'!$B$2:$B$1000,A414))</f>
      </c>
      <c r="C414" s="4">
        <f>IF(A414="","",COUNTIF('Output Agus'!$B$2:$B$1000,A414))</f>
      </c>
      <c r="D414" s="4">
        <f>IF(A414="","",COUNTIF('Output Rexa'!$B$2:$B$1000,A414))</f>
      </c>
      <c r="E414" s="4">
        <f>IF(A414="","",B414-C414-D414)</f>
      </c>
    </row>
    <row r="415">
      <c r="A415" s="5">
        <f>IFERROR(INDEX('Input Barang'!$B$2:$B$1000,404),"")</f>
      </c>
      <c r="B415" s="4">
        <f>IF(A415="","",COUNTIF('Input Barang'!$B$2:$B$1000,A415))</f>
      </c>
      <c r="C415" s="4">
        <f>IF(A415="","",COUNTIF('Output Agus'!$B$2:$B$1000,A415))</f>
      </c>
      <c r="D415" s="4">
        <f>IF(A415="","",COUNTIF('Output Rexa'!$B$2:$B$1000,A415))</f>
      </c>
      <c r="E415" s="4">
        <f>IF(A415="","",B415-C415-D415)</f>
      </c>
    </row>
    <row r="416">
      <c r="A416" s="5">
        <f>IFERROR(INDEX('Input Barang'!$B$2:$B$1000,405),"")</f>
      </c>
      <c r="B416" s="4">
        <f>IF(A416="","",COUNTIF('Input Barang'!$B$2:$B$1000,A416))</f>
      </c>
      <c r="C416" s="4">
        <f>IF(A416="","",COUNTIF('Output Agus'!$B$2:$B$1000,A416))</f>
      </c>
      <c r="D416" s="4">
        <f>IF(A416="","",COUNTIF('Output Rexa'!$B$2:$B$1000,A416))</f>
      </c>
      <c r="E416" s="4">
        <f>IF(A416="","",B416-C416-D416)</f>
      </c>
    </row>
    <row r="417">
      <c r="A417" s="5">
        <f>IFERROR(INDEX('Input Barang'!$B$2:$B$1000,406),"")</f>
      </c>
      <c r="B417" s="4">
        <f>IF(A417="","",COUNTIF('Input Barang'!$B$2:$B$1000,A417))</f>
      </c>
      <c r="C417" s="4">
        <f>IF(A417="","",COUNTIF('Output Agus'!$B$2:$B$1000,A417))</f>
      </c>
      <c r="D417" s="4">
        <f>IF(A417="","",COUNTIF('Output Rexa'!$B$2:$B$1000,A417))</f>
      </c>
      <c r="E417" s="4">
        <f>IF(A417="","",B417-C417-D417)</f>
      </c>
    </row>
    <row r="418">
      <c r="A418" s="5">
        <f>IFERROR(INDEX('Input Barang'!$B$2:$B$1000,407),"")</f>
      </c>
      <c r="B418" s="4">
        <f>IF(A418="","",COUNTIF('Input Barang'!$B$2:$B$1000,A418))</f>
      </c>
      <c r="C418" s="4">
        <f>IF(A418="","",COUNTIF('Output Agus'!$B$2:$B$1000,A418))</f>
      </c>
      <c r="D418" s="4">
        <f>IF(A418="","",COUNTIF('Output Rexa'!$B$2:$B$1000,A418))</f>
      </c>
      <c r="E418" s="4">
        <f>IF(A418="","",B418-C418-D418)</f>
      </c>
    </row>
    <row r="419">
      <c r="A419" s="5">
        <f>IFERROR(INDEX('Input Barang'!$B$2:$B$1000,408),"")</f>
      </c>
      <c r="B419" s="4">
        <f>IF(A419="","",COUNTIF('Input Barang'!$B$2:$B$1000,A419))</f>
      </c>
      <c r="C419" s="4">
        <f>IF(A419="","",COUNTIF('Output Agus'!$B$2:$B$1000,A419))</f>
      </c>
      <c r="D419" s="4">
        <f>IF(A419="","",COUNTIF('Output Rexa'!$B$2:$B$1000,A419))</f>
      </c>
      <c r="E419" s="4">
        <f>IF(A419="","",B419-C419-D419)</f>
      </c>
    </row>
    <row r="420">
      <c r="A420" s="5">
        <f>IFERROR(INDEX('Input Barang'!$B$2:$B$1000,409),"")</f>
      </c>
      <c r="B420" s="4">
        <f>IF(A420="","",COUNTIF('Input Barang'!$B$2:$B$1000,A420))</f>
      </c>
      <c r="C420" s="4">
        <f>IF(A420="","",COUNTIF('Output Agus'!$B$2:$B$1000,A420))</f>
      </c>
      <c r="D420" s="4">
        <f>IF(A420="","",COUNTIF('Output Rexa'!$B$2:$B$1000,A420))</f>
      </c>
      <c r="E420" s="4">
        <f>IF(A420="","",B420-C420-D420)</f>
      </c>
    </row>
    <row r="421">
      <c r="A421" s="5">
        <f>IFERROR(INDEX('Input Barang'!$B$2:$B$1000,410),"")</f>
      </c>
      <c r="B421" s="4">
        <f>IF(A421="","",COUNTIF('Input Barang'!$B$2:$B$1000,A421))</f>
      </c>
      <c r="C421" s="4">
        <f>IF(A421="","",COUNTIF('Output Agus'!$B$2:$B$1000,A421))</f>
      </c>
      <c r="D421" s="4">
        <f>IF(A421="","",COUNTIF('Output Rexa'!$B$2:$B$1000,A421))</f>
      </c>
      <c r="E421" s="4">
        <f>IF(A421="","",B421-C421-D421)</f>
      </c>
    </row>
    <row r="422">
      <c r="A422" s="5">
        <f>IFERROR(INDEX('Input Barang'!$B$2:$B$1000,411),"")</f>
      </c>
      <c r="B422" s="4">
        <f>IF(A422="","",COUNTIF('Input Barang'!$B$2:$B$1000,A422))</f>
      </c>
      <c r="C422" s="4">
        <f>IF(A422="","",COUNTIF('Output Agus'!$B$2:$B$1000,A422))</f>
      </c>
      <c r="D422" s="4">
        <f>IF(A422="","",COUNTIF('Output Rexa'!$B$2:$B$1000,A422))</f>
      </c>
      <c r="E422" s="4">
        <f>IF(A422="","",B422-C422-D422)</f>
      </c>
    </row>
    <row r="423">
      <c r="A423" s="5">
        <f>IFERROR(INDEX('Input Barang'!$B$2:$B$1000,412),"")</f>
      </c>
      <c r="B423" s="4">
        <f>IF(A423="","",COUNTIF('Input Barang'!$B$2:$B$1000,A423))</f>
      </c>
      <c r="C423" s="4">
        <f>IF(A423="","",COUNTIF('Output Agus'!$B$2:$B$1000,A423))</f>
      </c>
      <c r="D423" s="4">
        <f>IF(A423="","",COUNTIF('Output Rexa'!$B$2:$B$1000,A423))</f>
      </c>
      <c r="E423" s="4">
        <f>IF(A423="","",B423-C423-D423)</f>
      </c>
    </row>
    <row r="424">
      <c r="A424" s="5">
        <f>IFERROR(INDEX('Input Barang'!$B$2:$B$1000,413),"")</f>
      </c>
      <c r="B424" s="4">
        <f>IF(A424="","",COUNTIF('Input Barang'!$B$2:$B$1000,A424))</f>
      </c>
      <c r="C424" s="4">
        <f>IF(A424="","",COUNTIF('Output Agus'!$B$2:$B$1000,A424))</f>
      </c>
      <c r="D424" s="4">
        <f>IF(A424="","",COUNTIF('Output Rexa'!$B$2:$B$1000,A424))</f>
      </c>
      <c r="E424" s="4">
        <f>IF(A424="","",B424-C424-D424)</f>
      </c>
    </row>
    <row r="425">
      <c r="A425" s="5">
        <f>IFERROR(INDEX('Input Barang'!$B$2:$B$1000,414),"")</f>
      </c>
      <c r="B425" s="4">
        <f>IF(A425="","",COUNTIF('Input Barang'!$B$2:$B$1000,A425))</f>
      </c>
      <c r="C425" s="4">
        <f>IF(A425="","",COUNTIF('Output Agus'!$B$2:$B$1000,A425))</f>
      </c>
      <c r="D425" s="4">
        <f>IF(A425="","",COUNTIF('Output Rexa'!$B$2:$B$1000,A425))</f>
      </c>
      <c r="E425" s="4">
        <f>IF(A425="","",B425-C425-D425)</f>
      </c>
    </row>
    <row r="426">
      <c r="A426" s="5">
        <f>IFERROR(INDEX('Input Barang'!$B$2:$B$1000,415),"")</f>
      </c>
      <c r="B426" s="4">
        <f>IF(A426="","",COUNTIF('Input Barang'!$B$2:$B$1000,A426))</f>
      </c>
      <c r="C426" s="4">
        <f>IF(A426="","",COUNTIF('Output Agus'!$B$2:$B$1000,A426))</f>
      </c>
      <c r="D426" s="4">
        <f>IF(A426="","",COUNTIF('Output Rexa'!$B$2:$B$1000,A426))</f>
      </c>
      <c r="E426" s="4">
        <f>IF(A426="","",B426-C426-D426)</f>
      </c>
    </row>
    <row r="427">
      <c r="A427" s="5">
        <f>IFERROR(INDEX('Input Barang'!$B$2:$B$1000,416),"")</f>
      </c>
      <c r="B427" s="4">
        <f>IF(A427="","",COUNTIF('Input Barang'!$B$2:$B$1000,A427))</f>
      </c>
      <c r="C427" s="4">
        <f>IF(A427="","",COUNTIF('Output Agus'!$B$2:$B$1000,A427))</f>
      </c>
      <c r="D427" s="4">
        <f>IF(A427="","",COUNTIF('Output Rexa'!$B$2:$B$1000,A427))</f>
      </c>
      <c r="E427" s="4">
        <f>IF(A427="","",B427-C427-D427)</f>
      </c>
    </row>
    <row r="428">
      <c r="A428" s="5">
        <f>IFERROR(INDEX('Input Barang'!$B$2:$B$1000,417),"")</f>
      </c>
      <c r="B428" s="4">
        <f>IF(A428="","",COUNTIF('Input Barang'!$B$2:$B$1000,A428))</f>
      </c>
      <c r="C428" s="4">
        <f>IF(A428="","",COUNTIF('Output Agus'!$B$2:$B$1000,A428))</f>
      </c>
      <c r="D428" s="4">
        <f>IF(A428="","",COUNTIF('Output Rexa'!$B$2:$B$1000,A428))</f>
      </c>
      <c r="E428" s="4">
        <f>IF(A428="","",B428-C428-D428)</f>
      </c>
    </row>
    <row r="429">
      <c r="A429" s="5">
        <f>IFERROR(INDEX('Input Barang'!$B$2:$B$1000,418),"")</f>
      </c>
      <c r="B429" s="4">
        <f>IF(A429="","",COUNTIF('Input Barang'!$B$2:$B$1000,A429))</f>
      </c>
      <c r="C429" s="4">
        <f>IF(A429="","",COUNTIF('Output Agus'!$B$2:$B$1000,A429))</f>
      </c>
      <c r="D429" s="4">
        <f>IF(A429="","",COUNTIF('Output Rexa'!$B$2:$B$1000,A429))</f>
      </c>
      <c r="E429" s="4">
        <f>IF(A429="","",B429-C429-D429)</f>
      </c>
    </row>
    <row r="430">
      <c r="A430" s="5">
        <f>IFERROR(INDEX('Input Barang'!$B$2:$B$1000,419),"")</f>
      </c>
      <c r="B430" s="4">
        <f>IF(A430="","",COUNTIF('Input Barang'!$B$2:$B$1000,A430))</f>
      </c>
      <c r="C430" s="4">
        <f>IF(A430="","",COUNTIF('Output Agus'!$B$2:$B$1000,A430))</f>
      </c>
      <c r="D430" s="4">
        <f>IF(A430="","",COUNTIF('Output Rexa'!$B$2:$B$1000,A430))</f>
      </c>
      <c r="E430" s="4">
        <f>IF(A430="","",B430-C430-D430)</f>
      </c>
    </row>
    <row r="431">
      <c r="A431" s="5">
        <f>IFERROR(INDEX('Input Barang'!$B$2:$B$1000,420),"")</f>
      </c>
      <c r="B431" s="4">
        <f>IF(A431="","",COUNTIF('Input Barang'!$B$2:$B$1000,A431))</f>
      </c>
      <c r="C431" s="4">
        <f>IF(A431="","",COUNTIF('Output Agus'!$B$2:$B$1000,A431))</f>
      </c>
      <c r="D431" s="4">
        <f>IF(A431="","",COUNTIF('Output Rexa'!$B$2:$B$1000,A431))</f>
      </c>
      <c r="E431" s="4">
        <f>IF(A431="","",B431-C431-D431)</f>
      </c>
    </row>
    <row r="432">
      <c r="A432" s="5">
        <f>IFERROR(INDEX('Input Barang'!$B$2:$B$1000,421),"")</f>
      </c>
      <c r="B432" s="4">
        <f>IF(A432="","",COUNTIF('Input Barang'!$B$2:$B$1000,A432))</f>
      </c>
      <c r="C432" s="4">
        <f>IF(A432="","",COUNTIF('Output Agus'!$B$2:$B$1000,A432))</f>
      </c>
      <c r="D432" s="4">
        <f>IF(A432="","",COUNTIF('Output Rexa'!$B$2:$B$1000,A432))</f>
      </c>
      <c r="E432" s="4">
        <f>IF(A432="","",B432-C432-D432)</f>
      </c>
    </row>
    <row r="433">
      <c r="A433" s="5">
        <f>IFERROR(INDEX('Input Barang'!$B$2:$B$1000,422),"")</f>
      </c>
      <c r="B433" s="4">
        <f>IF(A433="","",COUNTIF('Input Barang'!$B$2:$B$1000,A433))</f>
      </c>
      <c r="C433" s="4">
        <f>IF(A433="","",COUNTIF('Output Agus'!$B$2:$B$1000,A433))</f>
      </c>
      <c r="D433" s="4">
        <f>IF(A433="","",COUNTIF('Output Rexa'!$B$2:$B$1000,A433))</f>
      </c>
      <c r="E433" s="4">
        <f>IF(A433="","",B433-C433-D433)</f>
      </c>
    </row>
    <row r="434">
      <c r="A434" s="5">
        <f>IFERROR(INDEX('Input Barang'!$B$2:$B$1000,423),"")</f>
      </c>
      <c r="B434" s="4">
        <f>IF(A434="","",COUNTIF('Input Barang'!$B$2:$B$1000,A434))</f>
      </c>
      <c r="C434" s="4">
        <f>IF(A434="","",COUNTIF('Output Agus'!$B$2:$B$1000,A434))</f>
      </c>
      <c r="D434" s="4">
        <f>IF(A434="","",COUNTIF('Output Rexa'!$B$2:$B$1000,A434))</f>
      </c>
      <c r="E434" s="4">
        <f>IF(A434="","",B434-C434-D434)</f>
      </c>
    </row>
    <row r="435">
      <c r="A435" s="5">
        <f>IFERROR(INDEX('Input Barang'!$B$2:$B$1000,424),"")</f>
      </c>
      <c r="B435" s="4">
        <f>IF(A435="","",COUNTIF('Input Barang'!$B$2:$B$1000,A435))</f>
      </c>
      <c r="C435" s="4">
        <f>IF(A435="","",COUNTIF('Output Agus'!$B$2:$B$1000,A435))</f>
      </c>
      <c r="D435" s="4">
        <f>IF(A435="","",COUNTIF('Output Rexa'!$B$2:$B$1000,A435))</f>
      </c>
      <c r="E435" s="4">
        <f>IF(A435="","",B435-C435-D435)</f>
      </c>
    </row>
    <row r="436">
      <c r="A436" s="5">
        <f>IFERROR(INDEX('Input Barang'!$B$2:$B$1000,425),"")</f>
      </c>
      <c r="B436" s="4">
        <f>IF(A436="","",COUNTIF('Input Barang'!$B$2:$B$1000,A436))</f>
      </c>
      <c r="C436" s="4">
        <f>IF(A436="","",COUNTIF('Output Agus'!$B$2:$B$1000,A436))</f>
      </c>
      <c r="D436" s="4">
        <f>IF(A436="","",COUNTIF('Output Rexa'!$B$2:$B$1000,A436))</f>
      </c>
      <c r="E436" s="4">
        <f>IF(A436="","",B436-C436-D436)</f>
      </c>
    </row>
    <row r="437">
      <c r="A437" s="5">
        <f>IFERROR(INDEX('Input Barang'!$B$2:$B$1000,426),"")</f>
      </c>
      <c r="B437" s="4">
        <f>IF(A437="","",COUNTIF('Input Barang'!$B$2:$B$1000,A437))</f>
      </c>
      <c r="C437" s="4">
        <f>IF(A437="","",COUNTIF('Output Agus'!$B$2:$B$1000,A437))</f>
      </c>
      <c r="D437" s="4">
        <f>IF(A437="","",COUNTIF('Output Rexa'!$B$2:$B$1000,A437))</f>
      </c>
      <c r="E437" s="4">
        <f>IF(A437="","",B437-C437-D437)</f>
      </c>
    </row>
    <row r="438">
      <c r="A438" s="5">
        <f>IFERROR(INDEX('Input Barang'!$B$2:$B$1000,427),"")</f>
      </c>
      <c r="B438" s="4">
        <f>IF(A438="","",COUNTIF('Input Barang'!$B$2:$B$1000,A438))</f>
      </c>
      <c r="C438" s="4">
        <f>IF(A438="","",COUNTIF('Output Agus'!$B$2:$B$1000,A438))</f>
      </c>
      <c r="D438" s="4">
        <f>IF(A438="","",COUNTIF('Output Rexa'!$B$2:$B$1000,A438))</f>
      </c>
      <c r="E438" s="4">
        <f>IF(A438="","",B438-C438-D438)</f>
      </c>
    </row>
    <row r="439">
      <c r="A439" s="5">
        <f>IFERROR(INDEX('Input Barang'!$B$2:$B$1000,428),"")</f>
      </c>
      <c r="B439" s="4">
        <f>IF(A439="","",COUNTIF('Input Barang'!$B$2:$B$1000,A439))</f>
      </c>
      <c r="C439" s="4">
        <f>IF(A439="","",COUNTIF('Output Agus'!$B$2:$B$1000,A439))</f>
      </c>
      <c r="D439" s="4">
        <f>IF(A439="","",COUNTIF('Output Rexa'!$B$2:$B$1000,A439))</f>
      </c>
      <c r="E439" s="4">
        <f>IF(A439="","",B439-C439-D439)</f>
      </c>
    </row>
    <row r="440">
      <c r="A440" s="5">
        <f>IFERROR(INDEX('Input Barang'!$B$2:$B$1000,429),"")</f>
      </c>
      <c r="B440" s="4">
        <f>IF(A440="","",COUNTIF('Input Barang'!$B$2:$B$1000,A440))</f>
      </c>
      <c r="C440" s="4">
        <f>IF(A440="","",COUNTIF('Output Agus'!$B$2:$B$1000,A440))</f>
      </c>
      <c r="D440" s="4">
        <f>IF(A440="","",COUNTIF('Output Rexa'!$B$2:$B$1000,A440))</f>
      </c>
      <c r="E440" s="4">
        <f>IF(A440="","",B440-C440-D440)</f>
      </c>
    </row>
    <row r="441">
      <c r="A441" s="5">
        <f>IFERROR(INDEX('Input Barang'!$B$2:$B$1000,430),"")</f>
      </c>
      <c r="B441" s="4">
        <f>IF(A441="","",COUNTIF('Input Barang'!$B$2:$B$1000,A441))</f>
      </c>
      <c r="C441" s="4">
        <f>IF(A441="","",COUNTIF('Output Agus'!$B$2:$B$1000,A441))</f>
      </c>
      <c r="D441" s="4">
        <f>IF(A441="","",COUNTIF('Output Rexa'!$B$2:$B$1000,A441))</f>
      </c>
      <c r="E441" s="4">
        <f>IF(A441="","",B441-C441-D441)</f>
      </c>
    </row>
    <row r="442">
      <c r="A442" s="5">
        <f>IFERROR(INDEX('Input Barang'!$B$2:$B$1000,431),"")</f>
      </c>
      <c r="B442" s="4">
        <f>IF(A442="","",COUNTIF('Input Barang'!$B$2:$B$1000,A442))</f>
      </c>
      <c r="C442" s="4">
        <f>IF(A442="","",COUNTIF('Output Agus'!$B$2:$B$1000,A442))</f>
      </c>
      <c r="D442" s="4">
        <f>IF(A442="","",COUNTIF('Output Rexa'!$B$2:$B$1000,A442))</f>
      </c>
      <c r="E442" s="4">
        <f>IF(A442="","",B442-C442-D442)</f>
      </c>
    </row>
    <row r="443">
      <c r="A443" s="5">
        <f>IFERROR(INDEX('Input Barang'!$B$2:$B$1000,432),"")</f>
      </c>
      <c r="B443" s="4">
        <f>IF(A443="","",COUNTIF('Input Barang'!$B$2:$B$1000,A443))</f>
      </c>
      <c r="C443" s="4">
        <f>IF(A443="","",COUNTIF('Output Agus'!$B$2:$B$1000,A443))</f>
      </c>
      <c r="D443" s="4">
        <f>IF(A443="","",COUNTIF('Output Rexa'!$B$2:$B$1000,A443))</f>
      </c>
      <c r="E443" s="4">
        <f>IF(A443="","",B443-C443-D443)</f>
      </c>
    </row>
    <row r="444">
      <c r="A444" s="5">
        <f>IFERROR(INDEX('Input Barang'!$B$2:$B$1000,433),"")</f>
      </c>
      <c r="B444" s="4">
        <f>IF(A444="","",COUNTIF('Input Barang'!$B$2:$B$1000,A444))</f>
      </c>
      <c r="C444" s="4">
        <f>IF(A444="","",COUNTIF('Output Agus'!$B$2:$B$1000,A444))</f>
      </c>
      <c r="D444" s="4">
        <f>IF(A444="","",COUNTIF('Output Rexa'!$B$2:$B$1000,A444))</f>
      </c>
      <c r="E444" s="4">
        <f>IF(A444="","",B444-C444-D444)</f>
      </c>
    </row>
    <row r="445">
      <c r="A445" s="5">
        <f>IFERROR(INDEX('Input Barang'!$B$2:$B$1000,434),"")</f>
      </c>
      <c r="B445" s="4">
        <f>IF(A445="","",COUNTIF('Input Barang'!$B$2:$B$1000,A445))</f>
      </c>
      <c r="C445" s="4">
        <f>IF(A445="","",COUNTIF('Output Agus'!$B$2:$B$1000,A445))</f>
      </c>
      <c r="D445" s="4">
        <f>IF(A445="","",COUNTIF('Output Rexa'!$B$2:$B$1000,A445))</f>
      </c>
      <c r="E445" s="4">
        <f>IF(A445="","",B445-C445-D445)</f>
      </c>
    </row>
    <row r="446">
      <c r="A446" s="5">
        <f>IFERROR(INDEX('Input Barang'!$B$2:$B$1000,435),"")</f>
      </c>
      <c r="B446" s="4">
        <f>IF(A446="","",COUNTIF('Input Barang'!$B$2:$B$1000,A446))</f>
      </c>
      <c r="C446" s="4">
        <f>IF(A446="","",COUNTIF('Output Agus'!$B$2:$B$1000,A446))</f>
      </c>
      <c r="D446" s="4">
        <f>IF(A446="","",COUNTIF('Output Rexa'!$B$2:$B$1000,A446))</f>
      </c>
      <c r="E446" s="4">
        <f>IF(A446="","",B446-C446-D446)</f>
      </c>
    </row>
    <row r="447">
      <c r="A447" s="5">
        <f>IFERROR(INDEX('Input Barang'!$B$2:$B$1000,436),"")</f>
      </c>
      <c r="B447" s="4">
        <f>IF(A447="","",COUNTIF('Input Barang'!$B$2:$B$1000,A447))</f>
      </c>
      <c r="C447" s="4">
        <f>IF(A447="","",COUNTIF('Output Agus'!$B$2:$B$1000,A447))</f>
      </c>
      <c r="D447" s="4">
        <f>IF(A447="","",COUNTIF('Output Rexa'!$B$2:$B$1000,A447))</f>
      </c>
      <c r="E447" s="4">
        <f>IF(A447="","",B447-C447-D447)</f>
      </c>
    </row>
    <row r="448">
      <c r="A448" s="5">
        <f>IFERROR(INDEX('Input Barang'!$B$2:$B$1000,437),"")</f>
      </c>
      <c r="B448" s="4">
        <f>IF(A448="","",COUNTIF('Input Barang'!$B$2:$B$1000,A448))</f>
      </c>
      <c r="C448" s="4">
        <f>IF(A448="","",COUNTIF('Output Agus'!$B$2:$B$1000,A448))</f>
      </c>
      <c r="D448" s="4">
        <f>IF(A448="","",COUNTIF('Output Rexa'!$B$2:$B$1000,A448))</f>
      </c>
      <c r="E448" s="4">
        <f>IF(A448="","",B448-C448-D448)</f>
      </c>
    </row>
    <row r="449">
      <c r="A449" s="5">
        <f>IFERROR(INDEX('Input Barang'!$B$2:$B$1000,438),"")</f>
      </c>
      <c r="B449" s="4">
        <f>IF(A449="","",COUNTIF('Input Barang'!$B$2:$B$1000,A449))</f>
      </c>
      <c r="C449" s="4">
        <f>IF(A449="","",COUNTIF('Output Agus'!$B$2:$B$1000,A449))</f>
      </c>
      <c r="D449" s="4">
        <f>IF(A449="","",COUNTIF('Output Rexa'!$B$2:$B$1000,A449))</f>
      </c>
      <c r="E449" s="4">
        <f>IF(A449="","",B449-C449-D449)</f>
      </c>
    </row>
    <row r="450">
      <c r="A450" s="5">
        <f>IFERROR(INDEX('Input Barang'!$B$2:$B$1000,439),"")</f>
      </c>
      <c r="B450" s="4">
        <f>IF(A450="","",COUNTIF('Input Barang'!$B$2:$B$1000,A450))</f>
      </c>
      <c r="C450" s="4">
        <f>IF(A450="","",COUNTIF('Output Agus'!$B$2:$B$1000,A450))</f>
      </c>
      <c r="D450" s="4">
        <f>IF(A450="","",COUNTIF('Output Rexa'!$B$2:$B$1000,A450))</f>
      </c>
      <c r="E450" s="4">
        <f>IF(A450="","",B450-C450-D450)</f>
      </c>
    </row>
    <row r="451">
      <c r="A451" s="5">
        <f>IFERROR(INDEX('Input Barang'!$B$2:$B$1000,440),"")</f>
      </c>
      <c r="B451" s="4">
        <f>IF(A451="","",COUNTIF('Input Barang'!$B$2:$B$1000,A451))</f>
      </c>
      <c r="C451" s="4">
        <f>IF(A451="","",COUNTIF('Output Agus'!$B$2:$B$1000,A451))</f>
      </c>
      <c r="D451" s="4">
        <f>IF(A451="","",COUNTIF('Output Rexa'!$B$2:$B$1000,A451))</f>
      </c>
      <c r="E451" s="4">
        <f>IF(A451="","",B451-C451-D451)</f>
      </c>
    </row>
    <row r="452">
      <c r="A452" s="5">
        <f>IFERROR(INDEX('Input Barang'!$B$2:$B$1000,441),"")</f>
      </c>
      <c r="B452" s="4">
        <f>IF(A452="","",COUNTIF('Input Barang'!$B$2:$B$1000,A452))</f>
      </c>
      <c r="C452" s="4">
        <f>IF(A452="","",COUNTIF('Output Agus'!$B$2:$B$1000,A452))</f>
      </c>
      <c r="D452" s="4">
        <f>IF(A452="","",COUNTIF('Output Rexa'!$B$2:$B$1000,A452))</f>
      </c>
      <c r="E452" s="4">
        <f>IF(A452="","",B452-C452-D452)</f>
      </c>
    </row>
    <row r="453">
      <c r="A453" s="5">
        <f>IFERROR(INDEX('Input Barang'!$B$2:$B$1000,442),"")</f>
      </c>
      <c r="B453" s="4">
        <f>IF(A453="","",COUNTIF('Input Barang'!$B$2:$B$1000,A453))</f>
      </c>
      <c r="C453" s="4">
        <f>IF(A453="","",COUNTIF('Output Agus'!$B$2:$B$1000,A453))</f>
      </c>
      <c r="D453" s="4">
        <f>IF(A453="","",COUNTIF('Output Rexa'!$B$2:$B$1000,A453))</f>
      </c>
      <c r="E453" s="4">
        <f>IF(A453="","",B453-C453-D453)</f>
      </c>
    </row>
    <row r="454">
      <c r="A454" s="5">
        <f>IFERROR(INDEX('Input Barang'!$B$2:$B$1000,443),"")</f>
      </c>
      <c r="B454" s="4">
        <f>IF(A454="","",COUNTIF('Input Barang'!$B$2:$B$1000,A454))</f>
      </c>
      <c r="C454" s="4">
        <f>IF(A454="","",COUNTIF('Output Agus'!$B$2:$B$1000,A454))</f>
      </c>
      <c r="D454" s="4">
        <f>IF(A454="","",COUNTIF('Output Rexa'!$B$2:$B$1000,A454))</f>
      </c>
      <c r="E454" s="4">
        <f>IF(A454="","",B454-C454-D454)</f>
      </c>
    </row>
    <row r="455">
      <c r="A455" s="5">
        <f>IFERROR(INDEX('Input Barang'!$B$2:$B$1000,444),"")</f>
      </c>
      <c r="B455" s="4">
        <f>IF(A455="","",COUNTIF('Input Barang'!$B$2:$B$1000,A455))</f>
      </c>
      <c r="C455" s="4">
        <f>IF(A455="","",COUNTIF('Output Agus'!$B$2:$B$1000,A455))</f>
      </c>
      <c r="D455" s="4">
        <f>IF(A455="","",COUNTIF('Output Rexa'!$B$2:$B$1000,A455))</f>
      </c>
      <c r="E455" s="4">
        <f>IF(A455="","",B455-C455-D455)</f>
      </c>
    </row>
    <row r="456">
      <c r="A456" s="5">
        <f>IFERROR(INDEX('Input Barang'!$B$2:$B$1000,445),"")</f>
      </c>
      <c r="B456" s="4">
        <f>IF(A456="","",COUNTIF('Input Barang'!$B$2:$B$1000,A456))</f>
      </c>
      <c r="C456" s="4">
        <f>IF(A456="","",COUNTIF('Output Agus'!$B$2:$B$1000,A456))</f>
      </c>
      <c r="D456" s="4">
        <f>IF(A456="","",COUNTIF('Output Rexa'!$B$2:$B$1000,A456))</f>
      </c>
      <c r="E456" s="4">
        <f>IF(A456="","",B456-C456-D456)</f>
      </c>
    </row>
    <row r="457">
      <c r="A457" s="5">
        <f>IFERROR(INDEX('Input Barang'!$B$2:$B$1000,446),"")</f>
      </c>
      <c r="B457" s="4">
        <f>IF(A457="","",COUNTIF('Input Barang'!$B$2:$B$1000,A457))</f>
      </c>
      <c r="C457" s="4">
        <f>IF(A457="","",COUNTIF('Output Agus'!$B$2:$B$1000,A457))</f>
      </c>
      <c r="D457" s="4">
        <f>IF(A457="","",COUNTIF('Output Rexa'!$B$2:$B$1000,A457))</f>
      </c>
      <c r="E457" s="4">
        <f>IF(A457="","",B457-C457-D457)</f>
      </c>
    </row>
    <row r="458">
      <c r="A458" s="5">
        <f>IFERROR(INDEX('Input Barang'!$B$2:$B$1000,447),"")</f>
      </c>
      <c r="B458" s="4">
        <f>IF(A458="","",COUNTIF('Input Barang'!$B$2:$B$1000,A458))</f>
      </c>
      <c r="C458" s="4">
        <f>IF(A458="","",COUNTIF('Output Agus'!$B$2:$B$1000,A458))</f>
      </c>
      <c r="D458" s="4">
        <f>IF(A458="","",COUNTIF('Output Rexa'!$B$2:$B$1000,A458))</f>
      </c>
      <c r="E458" s="4">
        <f>IF(A458="","",B458-C458-D458)</f>
      </c>
    </row>
    <row r="459">
      <c r="A459" s="5">
        <f>IFERROR(INDEX('Input Barang'!$B$2:$B$1000,448),"")</f>
      </c>
      <c r="B459" s="4">
        <f>IF(A459="","",COUNTIF('Input Barang'!$B$2:$B$1000,A459))</f>
      </c>
      <c r="C459" s="4">
        <f>IF(A459="","",COUNTIF('Output Agus'!$B$2:$B$1000,A459))</f>
      </c>
      <c r="D459" s="4">
        <f>IF(A459="","",COUNTIF('Output Rexa'!$B$2:$B$1000,A459))</f>
      </c>
      <c r="E459" s="4">
        <f>IF(A459="","",B459-C459-D459)</f>
      </c>
    </row>
    <row r="460">
      <c r="A460" s="5">
        <f>IFERROR(INDEX('Input Barang'!$B$2:$B$1000,449),"")</f>
      </c>
      <c r="B460" s="4">
        <f>IF(A460="","",COUNTIF('Input Barang'!$B$2:$B$1000,A460))</f>
      </c>
      <c r="C460" s="4">
        <f>IF(A460="","",COUNTIF('Output Agus'!$B$2:$B$1000,A460))</f>
      </c>
      <c r="D460" s="4">
        <f>IF(A460="","",COUNTIF('Output Rexa'!$B$2:$B$1000,A460))</f>
      </c>
      <c r="E460" s="4">
        <f>IF(A460="","",B460-C460-D460)</f>
      </c>
    </row>
    <row r="461">
      <c r="A461" s="5">
        <f>IFERROR(INDEX('Input Barang'!$B$2:$B$1000,450),"")</f>
      </c>
      <c r="B461" s="4">
        <f>IF(A461="","",COUNTIF('Input Barang'!$B$2:$B$1000,A461))</f>
      </c>
      <c r="C461" s="4">
        <f>IF(A461="","",COUNTIF('Output Agus'!$B$2:$B$1000,A461))</f>
      </c>
      <c r="D461" s="4">
        <f>IF(A461="","",COUNTIF('Output Rexa'!$B$2:$B$1000,A461))</f>
      </c>
      <c r="E461" s="4">
        <f>IF(A461="","",B461-C461-D461)</f>
      </c>
    </row>
    <row r="462">
      <c r="A462" s="5">
        <f>IFERROR(INDEX('Input Barang'!$B$2:$B$1000,451),"")</f>
      </c>
      <c r="B462" s="4">
        <f>IF(A462="","",COUNTIF('Input Barang'!$B$2:$B$1000,A462))</f>
      </c>
      <c r="C462" s="4">
        <f>IF(A462="","",COUNTIF('Output Agus'!$B$2:$B$1000,A462))</f>
      </c>
      <c r="D462" s="4">
        <f>IF(A462="","",COUNTIF('Output Rexa'!$B$2:$B$1000,A462))</f>
      </c>
      <c r="E462" s="4">
        <f>IF(A462="","",B462-C462-D462)</f>
      </c>
    </row>
    <row r="463">
      <c r="A463" s="5">
        <f>IFERROR(INDEX('Input Barang'!$B$2:$B$1000,452),"")</f>
      </c>
      <c r="B463" s="4">
        <f>IF(A463="","",COUNTIF('Input Barang'!$B$2:$B$1000,A463))</f>
      </c>
      <c r="C463" s="4">
        <f>IF(A463="","",COUNTIF('Output Agus'!$B$2:$B$1000,A463))</f>
      </c>
      <c r="D463" s="4">
        <f>IF(A463="","",COUNTIF('Output Rexa'!$B$2:$B$1000,A463))</f>
      </c>
      <c r="E463" s="4">
        <f>IF(A463="","",B463-C463-D463)</f>
      </c>
    </row>
    <row r="464">
      <c r="A464" s="5">
        <f>IFERROR(INDEX('Input Barang'!$B$2:$B$1000,453),"")</f>
      </c>
      <c r="B464" s="4">
        <f>IF(A464="","",COUNTIF('Input Barang'!$B$2:$B$1000,A464))</f>
      </c>
      <c r="C464" s="4">
        <f>IF(A464="","",COUNTIF('Output Agus'!$B$2:$B$1000,A464))</f>
      </c>
      <c r="D464" s="4">
        <f>IF(A464="","",COUNTIF('Output Rexa'!$B$2:$B$1000,A464))</f>
      </c>
      <c r="E464" s="4">
        <f>IF(A464="","",B464-C464-D464)</f>
      </c>
    </row>
    <row r="465">
      <c r="A465" s="5">
        <f>IFERROR(INDEX('Input Barang'!$B$2:$B$1000,454),"")</f>
      </c>
      <c r="B465" s="4">
        <f>IF(A465="","",COUNTIF('Input Barang'!$B$2:$B$1000,A465))</f>
      </c>
      <c r="C465" s="4">
        <f>IF(A465="","",COUNTIF('Output Agus'!$B$2:$B$1000,A465))</f>
      </c>
      <c r="D465" s="4">
        <f>IF(A465="","",COUNTIF('Output Rexa'!$B$2:$B$1000,A465))</f>
      </c>
      <c r="E465" s="4">
        <f>IF(A465="","",B465-C465-D465)</f>
      </c>
    </row>
    <row r="466">
      <c r="A466" s="5">
        <f>IFERROR(INDEX('Input Barang'!$B$2:$B$1000,455),"")</f>
      </c>
      <c r="B466" s="4">
        <f>IF(A466="","",COUNTIF('Input Barang'!$B$2:$B$1000,A466))</f>
      </c>
      <c r="C466" s="4">
        <f>IF(A466="","",COUNTIF('Output Agus'!$B$2:$B$1000,A466))</f>
      </c>
      <c r="D466" s="4">
        <f>IF(A466="","",COUNTIF('Output Rexa'!$B$2:$B$1000,A466))</f>
      </c>
      <c r="E466" s="4">
        <f>IF(A466="","",B466-C466-D466)</f>
      </c>
    </row>
    <row r="467">
      <c r="A467" s="5">
        <f>IFERROR(INDEX('Input Barang'!$B$2:$B$1000,456),"")</f>
      </c>
      <c r="B467" s="4">
        <f>IF(A467="","",COUNTIF('Input Barang'!$B$2:$B$1000,A467))</f>
      </c>
      <c r="C467" s="4">
        <f>IF(A467="","",COUNTIF('Output Agus'!$B$2:$B$1000,A467))</f>
      </c>
      <c r="D467" s="4">
        <f>IF(A467="","",COUNTIF('Output Rexa'!$B$2:$B$1000,A467))</f>
      </c>
      <c r="E467" s="4">
        <f>IF(A467="","",B467-C467-D467)</f>
      </c>
    </row>
    <row r="468">
      <c r="A468" s="5">
        <f>IFERROR(INDEX('Input Barang'!$B$2:$B$1000,457),"")</f>
      </c>
      <c r="B468" s="4">
        <f>IF(A468="","",COUNTIF('Input Barang'!$B$2:$B$1000,A468))</f>
      </c>
      <c r="C468" s="4">
        <f>IF(A468="","",COUNTIF('Output Agus'!$B$2:$B$1000,A468))</f>
      </c>
      <c r="D468" s="4">
        <f>IF(A468="","",COUNTIF('Output Rexa'!$B$2:$B$1000,A468))</f>
      </c>
      <c r="E468" s="4">
        <f>IF(A468="","",B468-C468-D468)</f>
      </c>
    </row>
    <row r="469">
      <c r="A469" s="5">
        <f>IFERROR(INDEX('Input Barang'!$B$2:$B$1000,458),"")</f>
      </c>
      <c r="B469" s="4">
        <f>IF(A469="","",COUNTIF('Input Barang'!$B$2:$B$1000,A469))</f>
      </c>
      <c r="C469" s="4">
        <f>IF(A469="","",COUNTIF('Output Agus'!$B$2:$B$1000,A469))</f>
      </c>
      <c r="D469" s="4">
        <f>IF(A469="","",COUNTIF('Output Rexa'!$B$2:$B$1000,A469))</f>
      </c>
      <c r="E469" s="4">
        <f>IF(A469="","",B469-C469-D469)</f>
      </c>
    </row>
    <row r="470">
      <c r="A470" s="5">
        <f>IFERROR(INDEX('Input Barang'!$B$2:$B$1000,459),"")</f>
      </c>
      <c r="B470" s="4">
        <f>IF(A470="","",COUNTIF('Input Barang'!$B$2:$B$1000,A470))</f>
      </c>
      <c r="C470" s="4">
        <f>IF(A470="","",COUNTIF('Output Agus'!$B$2:$B$1000,A470))</f>
      </c>
      <c r="D470" s="4">
        <f>IF(A470="","",COUNTIF('Output Rexa'!$B$2:$B$1000,A470))</f>
      </c>
      <c r="E470" s="4">
        <f>IF(A470="","",B470-C470-D470)</f>
      </c>
    </row>
    <row r="471">
      <c r="A471" s="5">
        <f>IFERROR(INDEX('Input Barang'!$B$2:$B$1000,460),"")</f>
      </c>
      <c r="B471" s="4">
        <f>IF(A471="","",COUNTIF('Input Barang'!$B$2:$B$1000,A471))</f>
      </c>
      <c r="C471" s="4">
        <f>IF(A471="","",COUNTIF('Output Agus'!$B$2:$B$1000,A471))</f>
      </c>
      <c r="D471" s="4">
        <f>IF(A471="","",COUNTIF('Output Rexa'!$B$2:$B$1000,A471))</f>
      </c>
      <c r="E471" s="4">
        <f>IF(A471="","",B471-C471-D471)</f>
      </c>
    </row>
    <row r="472">
      <c r="A472" s="5">
        <f>IFERROR(INDEX('Input Barang'!$B$2:$B$1000,461),"")</f>
      </c>
      <c r="B472" s="4">
        <f>IF(A472="","",COUNTIF('Input Barang'!$B$2:$B$1000,A472))</f>
      </c>
      <c r="C472" s="4">
        <f>IF(A472="","",COUNTIF('Output Agus'!$B$2:$B$1000,A472))</f>
      </c>
      <c r="D472" s="4">
        <f>IF(A472="","",COUNTIF('Output Rexa'!$B$2:$B$1000,A472))</f>
      </c>
      <c r="E472" s="4">
        <f>IF(A472="","",B472-C472-D472)</f>
      </c>
    </row>
    <row r="473">
      <c r="A473" s="5">
        <f>IFERROR(INDEX('Input Barang'!$B$2:$B$1000,462),"")</f>
      </c>
      <c r="B473" s="4">
        <f>IF(A473="","",COUNTIF('Input Barang'!$B$2:$B$1000,A473))</f>
      </c>
      <c r="C473" s="4">
        <f>IF(A473="","",COUNTIF('Output Agus'!$B$2:$B$1000,A473))</f>
      </c>
      <c r="D473" s="4">
        <f>IF(A473="","",COUNTIF('Output Rexa'!$B$2:$B$1000,A473))</f>
      </c>
      <c r="E473" s="4">
        <f>IF(A473="","",B473-C473-D473)</f>
      </c>
    </row>
    <row r="474">
      <c r="A474" s="5">
        <f>IFERROR(INDEX('Input Barang'!$B$2:$B$1000,463),"")</f>
      </c>
      <c r="B474" s="4">
        <f>IF(A474="","",COUNTIF('Input Barang'!$B$2:$B$1000,A474))</f>
      </c>
      <c r="C474" s="4">
        <f>IF(A474="","",COUNTIF('Output Agus'!$B$2:$B$1000,A474))</f>
      </c>
      <c r="D474" s="4">
        <f>IF(A474="","",COUNTIF('Output Rexa'!$B$2:$B$1000,A474))</f>
      </c>
      <c r="E474" s="4">
        <f>IF(A474="","",B474-C474-D474)</f>
      </c>
    </row>
    <row r="475">
      <c r="A475" s="5">
        <f>IFERROR(INDEX('Input Barang'!$B$2:$B$1000,464),"")</f>
      </c>
      <c r="B475" s="4">
        <f>IF(A475="","",COUNTIF('Input Barang'!$B$2:$B$1000,A475))</f>
      </c>
      <c r="C475" s="4">
        <f>IF(A475="","",COUNTIF('Output Agus'!$B$2:$B$1000,A475))</f>
      </c>
      <c r="D475" s="4">
        <f>IF(A475="","",COUNTIF('Output Rexa'!$B$2:$B$1000,A475))</f>
      </c>
      <c r="E475" s="4">
        <f>IF(A475="","",B475-C475-D475)</f>
      </c>
    </row>
    <row r="476">
      <c r="A476" s="5">
        <f>IFERROR(INDEX('Input Barang'!$B$2:$B$1000,465),"")</f>
      </c>
      <c r="B476" s="4">
        <f>IF(A476="","",COUNTIF('Input Barang'!$B$2:$B$1000,A476))</f>
      </c>
      <c r="C476" s="4">
        <f>IF(A476="","",COUNTIF('Output Agus'!$B$2:$B$1000,A476))</f>
      </c>
      <c r="D476" s="4">
        <f>IF(A476="","",COUNTIF('Output Rexa'!$B$2:$B$1000,A476))</f>
      </c>
      <c r="E476" s="4">
        <f>IF(A476="","",B476-C476-D476)</f>
      </c>
    </row>
    <row r="477">
      <c r="A477" s="5">
        <f>IFERROR(INDEX('Input Barang'!$B$2:$B$1000,466),"")</f>
      </c>
      <c r="B477" s="4">
        <f>IF(A477="","",COUNTIF('Input Barang'!$B$2:$B$1000,A477))</f>
      </c>
      <c r="C477" s="4">
        <f>IF(A477="","",COUNTIF('Output Agus'!$B$2:$B$1000,A477))</f>
      </c>
      <c r="D477" s="4">
        <f>IF(A477="","",COUNTIF('Output Rexa'!$B$2:$B$1000,A477))</f>
      </c>
      <c r="E477" s="4">
        <f>IF(A477="","",B477-C477-D477)</f>
      </c>
    </row>
    <row r="478">
      <c r="A478" s="5">
        <f>IFERROR(INDEX('Input Barang'!$B$2:$B$1000,467),"")</f>
      </c>
      <c r="B478" s="4">
        <f>IF(A478="","",COUNTIF('Input Barang'!$B$2:$B$1000,A478))</f>
      </c>
      <c r="C478" s="4">
        <f>IF(A478="","",COUNTIF('Output Agus'!$B$2:$B$1000,A478))</f>
      </c>
      <c r="D478" s="4">
        <f>IF(A478="","",COUNTIF('Output Rexa'!$B$2:$B$1000,A478))</f>
      </c>
      <c r="E478" s="4">
        <f>IF(A478="","",B478-C478-D478)</f>
      </c>
    </row>
    <row r="479">
      <c r="A479" s="5">
        <f>IFERROR(INDEX('Input Barang'!$B$2:$B$1000,468),"")</f>
      </c>
      <c r="B479" s="4">
        <f>IF(A479="","",COUNTIF('Input Barang'!$B$2:$B$1000,A479))</f>
      </c>
      <c r="C479" s="4">
        <f>IF(A479="","",COUNTIF('Output Agus'!$B$2:$B$1000,A479))</f>
      </c>
      <c r="D479" s="4">
        <f>IF(A479="","",COUNTIF('Output Rexa'!$B$2:$B$1000,A479))</f>
      </c>
      <c r="E479" s="4">
        <f>IF(A479="","",B479-C479-D479)</f>
      </c>
    </row>
    <row r="480">
      <c r="A480" s="5">
        <f>IFERROR(INDEX('Input Barang'!$B$2:$B$1000,469),"")</f>
      </c>
      <c r="B480" s="4">
        <f>IF(A480="","",COUNTIF('Input Barang'!$B$2:$B$1000,A480))</f>
      </c>
      <c r="C480" s="4">
        <f>IF(A480="","",COUNTIF('Output Agus'!$B$2:$B$1000,A480))</f>
      </c>
      <c r="D480" s="4">
        <f>IF(A480="","",COUNTIF('Output Rexa'!$B$2:$B$1000,A480))</f>
      </c>
      <c r="E480" s="4">
        <f>IF(A480="","",B480-C480-D480)</f>
      </c>
    </row>
    <row r="481">
      <c r="A481" s="5">
        <f>IFERROR(INDEX('Input Barang'!$B$2:$B$1000,470),"")</f>
      </c>
      <c r="B481" s="4">
        <f>IF(A481="","",COUNTIF('Input Barang'!$B$2:$B$1000,A481))</f>
      </c>
      <c r="C481" s="4">
        <f>IF(A481="","",COUNTIF('Output Agus'!$B$2:$B$1000,A481))</f>
      </c>
      <c r="D481" s="4">
        <f>IF(A481="","",COUNTIF('Output Rexa'!$B$2:$B$1000,A481))</f>
      </c>
      <c r="E481" s="4">
        <f>IF(A481="","",B481-C481-D481)</f>
      </c>
    </row>
    <row r="482">
      <c r="A482" s="5">
        <f>IFERROR(INDEX('Input Barang'!$B$2:$B$1000,471),"")</f>
      </c>
      <c r="B482" s="4">
        <f>IF(A482="","",COUNTIF('Input Barang'!$B$2:$B$1000,A482))</f>
      </c>
      <c r="C482" s="4">
        <f>IF(A482="","",COUNTIF('Output Agus'!$B$2:$B$1000,A482))</f>
      </c>
      <c r="D482" s="4">
        <f>IF(A482="","",COUNTIF('Output Rexa'!$B$2:$B$1000,A482))</f>
      </c>
      <c r="E482" s="4">
        <f>IF(A482="","",B482-C482-D482)</f>
      </c>
    </row>
    <row r="483">
      <c r="A483" s="5">
        <f>IFERROR(INDEX('Input Barang'!$B$2:$B$1000,472),"")</f>
      </c>
      <c r="B483" s="4">
        <f>IF(A483="","",COUNTIF('Input Barang'!$B$2:$B$1000,A483))</f>
      </c>
      <c r="C483" s="4">
        <f>IF(A483="","",COUNTIF('Output Agus'!$B$2:$B$1000,A483))</f>
      </c>
      <c r="D483" s="4">
        <f>IF(A483="","",COUNTIF('Output Rexa'!$B$2:$B$1000,A483))</f>
      </c>
      <c r="E483" s="4">
        <f>IF(A483="","",B483-C483-D483)</f>
      </c>
    </row>
    <row r="484">
      <c r="A484" s="5">
        <f>IFERROR(INDEX('Input Barang'!$B$2:$B$1000,473),"")</f>
      </c>
      <c r="B484" s="4">
        <f>IF(A484="","",COUNTIF('Input Barang'!$B$2:$B$1000,A484))</f>
      </c>
      <c r="C484" s="4">
        <f>IF(A484="","",COUNTIF('Output Agus'!$B$2:$B$1000,A484))</f>
      </c>
      <c r="D484" s="4">
        <f>IF(A484="","",COUNTIF('Output Rexa'!$B$2:$B$1000,A484))</f>
      </c>
      <c r="E484" s="4">
        <f>IF(A484="","",B484-C484-D484)</f>
      </c>
    </row>
    <row r="485">
      <c r="A485" s="5">
        <f>IFERROR(INDEX('Input Barang'!$B$2:$B$1000,474),"")</f>
      </c>
      <c r="B485" s="4">
        <f>IF(A485="","",COUNTIF('Input Barang'!$B$2:$B$1000,A485))</f>
      </c>
      <c r="C485" s="4">
        <f>IF(A485="","",COUNTIF('Output Agus'!$B$2:$B$1000,A485))</f>
      </c>
      <c r="D485" s="4">
        <f>IF(A485="","",COUNTIF('Output Rexa'!$B$2:$B$1000,A485))</f>
      </c>
      <c r="E485" s="4">
        <f>IF(A485="","",B485-C485-D485)</f>
      </c>
    </row>
    <row r="486">
      <c r="A486" s="5">
        <f>IFERROR(INDEX('Input Barang'!$B$2:$B$1000,475),"")</f>
      </c>
      <c r="B486" s="4">
        <f>IF(A486="","",COUNTIF('Input Barang'!$B$2:$B$1000,A486))</f>
      </c>
      <c r="C486" s="4">
        <f>IF(A486="","",COUNTIF('Output Agus'!$B$2:$B$1000,A486))</f>
      </c>
      <c r="D486" s="4">
        <f>IF(A486="","",COUNTIF('Output Rexa'!$B$2:$B$1000,A486))</f>
      </c>
      <c r="E486" s="4">
        <f>IF(A486="","",B486-C486-D486)</f>
      </c>
    </row>
    <row r="487">
      <c r="A487" s="5">
        <f>IFERROR(INDEX('Input Barang'!$B$2:$B$1000,476),"")</f>
      </c>
      <c r="B487" s="4">
        <f>IF(A487="","",COUNTIF('Input Barang'!$B$2:$B$1000,A487))</f>
      </c>
      <c r="C487" s="4">
        <f>IF(A487="","",COUNTIF('Output Agus'!$B$2:$B$1000,A487))</f>
      </c>
      <c r="D487" s="4">
        <f>IF(A487="","",COUNTIF('Output Rexa'!$B$2:$B$1000,A487))</f>
      </c>
      <c r="E487" s="4">
        <f>IF(A487="","",B487-C487-D487)</f>
      </c>
    </row>
    <row r="488">
      <c r="A488" s="5">
        <f>IFERROR(INDEX('Input Barang'!$B$2:$B$1000,477),"")</f>
      </c>
      <c r="B488" s="4">
        <f>IF(A488="","",COUNTIF('Input Barang'!$B$2:$B$1000,A488))</f>
      </c>
      <c r="C488" s="4">
        <f>IF(A488="","",COUNTIF('Output Agus'!$B$2:$B$1000,A488))</f>
      </c>
      <c r="D488" s="4">
        <f>IF(A488="","",COUNTIF('Output Rexa'!$B$2:$B$1000,A488))</f>
      </c>
      <c r="E488" s="4">
        <f>IF(A488="","",B488-C488-D488)</f>
      </c>
    </row>
    <row r="489">
      <c r="A489" s="5">
        <f>IFERROR(INDEX('Input Barang'!$B$2:$B$1000,478),"")</f>
      </c>
      <c r="B489" s="4">
        <f>IF(A489="","",COUNTIF('Input Barang'!$B$2:$B$1000,A489))</f>
      </c>
      <c r="C489" s="4">
        <f>IF(A489="","",COUNTIF('Output Agus'!$B$2:$B$1000,A489))</f>
      </c>
      <c r="D489" s="4">
        <f>IF(A489="","",COUNTIF('Output Rexa'!$B$2:$B$1000,A489))</f>
      </c>
      <c r="E489" s="4">
        <f>IF(A489="","",B489-C489-D489)</f>
      </c>
    </row>
    <row r="490">
      <c r="A490" s="5">
        <f>IFERROR(INDEX('Input Barang'!$B$2:$B$1000,479),"")</f>
      </c>
      <c r="B490" s="4">
        <f>IF(A490="","",COUNTIF('Input Barang'!$B$2:$B$1000,A490))</f>
      </c>
      <c r="C490" s="4">
        <f>IF(A490="","",COUNTIF('Output Agus'!$B$2:$B$1000,A490))</f>
      </c>
      <c r="D490" s="4">
        <f>IF(A490="","",COUNTIF('Output Rexa'!$B$2:$B$1000,A490))</f>
      </c>
      <c r="E490" s="4">
        <f>IF(A490="","",B490-C490-D490)</f>
      </c>
    </row>
    <row r="491">
      <c r="A491" s="5">
        <f>IFERROR(INDEX('Input Barang'!$B$2:$B$1000,480),"")</f>
      </c>
      <c r="B491" s="4">
        <f>IF(A491="","",COUNTIF('Input Barang'!$B$2:$B$1000,A491))</f>
      </c>
      <c r="C491" s="4">
        <f>IF(A491="","",COUNTIF('Output Agus'!$B$2:$B$1000,A491))</f>
      </c>
      <c r="D491" s="4">
        <f>IF(A491="","",COUNTIF('Output Rexa'!$B$2:$B$1000,A491))</f>
      </c>
      <c r="E491" s="4">
        <f>IF(A491="","",B491-C491-D491)</f>
      </c>
    </row>
    <row r="492">
      <c r="A492" s="5">
        <f>IFERROR(INDEX('Input Barang'!$B$2:$B$1000,481),"")</f>
      </c>
      <c r="B492" s="4">
        <f>IF(A492="","",COUNTIF('Input Barang'!$B$2:$B$1000,A492))</f>
      </c>
      <c r="C492" s="4">
        <f>IF(A492="","",COUNTIF('Output Agus'!$B$2:$B$1000,A492))</f>
      </c>
      <c r="D492" s="4">
        <f>IF(A492="","",COUNTIF('Output Rexa'!$B$2:$B$1000,A492))</f>
      </c>
      <c r="E492" s="4">
        <f>IF(A492="","",B492-C492-D492)</f>
      </c>
    </row>
    <row r="493">
      <c r="A493" s="5">
        <f>IFERROR(INDEX('Input Barang'!$B$2:$B$1000,482),"")</f>
      </c>
      <c r="B493" s="4">
        <f>IF(A493="","",COUNTIF('Input Barang'!$B$2:$B$1000,A493))</f>
      </c>
      <c r="C493" s="4">
        <f>IF(A493="","",COUNTIF('Output Agus'!$B$2:$B$1000,A493))</f>
      </c>
      <c r="D493" s="4">
        <f>IF(A493="","",COUNTIF('Output Rexa'!$B$2:$B$1000,A493))</f>
      </c>
      <c r="E493" s="4">
        <f>IF(A493="","",B493-C493-D493)</f>
      </c>
    </row>
    <row r="494">
      <c r="A494" s="5">
        <f>IFERROR(INDEX('Input Barang'!$B$2:$B$1000,483),"")</f>
      </c>
      <c r="B494" s="4">
        <f>IF(A494="","",COUNTIF('Input Barang'!$B$2:$B$1000,A494))</f>
      </c>
      <c r="C494" s="4">
        <f>IF(A494="","",COUNTIF('Output Agus'!$B$2:$B$1000,A494))</f>
      </c>
      <c r="D494" s="4">
        <f>IF(A494="","",COUNTIF('Output Rexa'!$B$2:$B$1000,A494))</f>
      </c>
      <c r="E494" s="4">
        <f>IF(A494="","",B494-C494-D494)</f>
      </c>
    </row>
    <row r="495">
      <c r="A495" s="5">
        <f>IFERROR(INDEX('Input Barang'!$B$2:$B$1000,484),"")</f>
      </c>
      <c r="B495" s="4">
        <f>IF(A495="","",COUNTIF('Input Barang'!$B$2:$B$1000,A495))</f>
      </c>
      <c r="C495" s="4">
        <f>IF(A495="","",COUNTIF('Output Agus'!$B$2:$B$1000,A495))</f>
      </c>
      <c r="D495" s="4">
        <f>IF(A495="","",COUNTIF('Output Rexa'!$B$2:$B$1000,A495))</f>
      </c>
      <c r="E495" s="4">
        <f>IF(A495="","",B495-C495-D495)</f>
      </c>
    </row>
    <row r="496">
      <c r="A496" s="5">
        <f>IFERROR(INDEX('Input Barang'!$B$2:$B$1000,485),"")</f>
      </c>
      <c r="B496" s="4">
        <f>IF(A496="","",COUNTIF('Input Barang'!$B$2:$B$1000,A496))</f>
      </c>
      <c r="C496" s="4">
        <f>IF(A496="","",COUNTIF('Output Agus'!$B$2:$B$1000,A496))</f>
      </c>
      <c r="D496" s="4">
        <f>IF(A496="","",COUNTIF('Output Rexa'!$B$2:$B$1000,A496))</f>
      </c>
      <c r="E496" s="4">
        <f>IF(A496="","",B496-C496-D496)</f>
      </c>
    </row>
    <row r="497">
      <c r="A497" s="5">
        <f>IFERROR(INDEX('Input Barang'!$B$2:$B$1000,486),"")</f>
      </c>
      <c r="B497" s="4">
        <f>IF(A497="","",COUNTIF('Input Barang'!$B$2:$B$1000,A497))</f>
      </c>
      <c r="C497" s="4">
        <f>IF(A497="","",COUNTIF('Output Agus'!$B$2:$B$1000,A497))</f>
      </c>
      <c r="D497" s="4">
        <f>IF(A497="","",COUNTIF('Output Rexa'!$B$2:$B$1000,A497))</f>
      </c>
      <c r="E497" s="4">
        <f>IF(A497="","",B497-C497-D497)</f>
      </c>
    </row>
    <row r="498">
      <c r="A498" s="5">
        <f>IFERROR(INDEX('Input Barang'!$B$2:$B$1000,487),"")</f>
      </c>
      <c r="B498" s="4">
        <f>IF(A498="","",COUNTIF('Input Barang'!$B$2:$B$1000,A498))</f>
      </c>
      <c r="C498" s="4">
        <f>IF(A498="","",COUNTIF('Output Agus'!$B$2:$B$1000,A498))</f>
      </c>
      <c r="D498" s="4">
        <f>IF(A498="","",COUNTIF('Output Rexa'!$B$2:$B$1000,A498))</f>
      </c>
      <c r="E498" s="4">
        <f>IF(A498="","",B498-C498-D498)</f>
      </c>
    </row>
    <row r="499">
      <c r="A499" s="5">
        <f>IFERROR(INDEX('Input Barang'!$B$2:$B$1000,488),"")</f>
      </c>
      <c r="B499" s="4">
        <f>IF(A499="","",COUNTIF('Input Barang'!$B$2:$B$1000,A499))</f>
      </c>
      <c r="C499" s="4">
        <f>IF(A499="","",COUNTIF('Output Agus'!$B$2:$B$1000,A499))</f>
      </c>
      <c r="D499" s="4">
        <f>IF(A499="","",COUNTIF('Output Rexa'!$B$2:$B$1000,A499))</f>
      </c>
      <c r="E499" s="4">
        <f>IF(A499="","",B499-C499-D499)</f>
      </c>
    </row>
    <row r="500">
      <c r="A500" s="5">
        <f>IFERROR(INDEX('Input Barang'!$B$2:$B$1000,489),"")</f>
      </c>
      <c r="B500" s="4">
        <f>IF(A500="","",COUNTIF('Input Barang'!$B$2:$B$1000,A500))</f>
      </c>
      <c r="C500" s="4">
        <f>IF(A500="","",COUNTIF('Output Agus'!$B$2:$B$1000,A500))</f>
      </c>
      <c r="D500" s="4">
        <f>IF(A500="","",COUNTIF('Output Rexa'!$B$2:$B$1000,A500))</f>
      </c>
      <c r="E500" s="4">
        <f>IF(A500="","",B500-C500-D500)</f>
      </c>
    </row>
    <row r="501">
      <c r="A501" s="5">
        <f>IFERROR(INDEX('Input Barang'!$B$2:$B$1000,490),"")</f>
      </c>
      <c r="B501" s="4">
        <f>IF(A501="","",COUNTIF('Input Barang'!$B$2:$B$1000,A501))</f>
      </c>
      <c r="C501" s="4">
        <f>IF(A501="","",COUNTIF('Output Agus'!$B$2:$B$1000,A501))</f>
      </c>
      <c r="D501" s="4">
        <f>IF(A501="","",COUNTIF('Output Rexa'!$B$2:$B$1000,A501))</f>
      </c>
      <c r="E501" s="4">
        <f>IF(A501="","",B501-C501-D501)</f>
      </c>
    </row>
    <row r="502">
      <c r="A502" s="5">
        <f>IFERROR(INDEX('Input Barang'!$B$2:$B$1000,491),"")</f>
      </c>
      <c r="B502" s="4">
        <f>IF(A502="","",COUNTIF('Input Barang'!$B$2:$B$1000,A502))</f>
      </c>
      <c r="C502" s="4">
        <f>IF(A502="","",COUNTIF('Output Agus'!$B$2:$B$1000,A502))</f>
      </c>
      <c r="D502" s="4">
        <f>IF(A502="","",COUNTIF('Output Rexa'!$B$2:$B$1000,A502))</f>
      </c>
      <c r="E502" s="4">
        <f>IF(A502="","",B502-C502-D502)</f>
      </c>
    </row>
    <row r="503">
      <c r="A503" s="5">
        <f>IFERROR(INDEX('Input Barang'!$B$2:$B$1000,492),"")</f>
      </c>
      <c r="B503" s="4">
        <f>IF(A503="","",COUNTIF('Input Barang'!$B$2:$B$1000,A503))</f>
      </c>
      <c r="C503" s="4">
        <f>IF(A503="","",COUNTIF('Output Agus'!$B$2:$B$1000,A503))</f>
      </c>
      <c r="D503" s="4">
        <f>IF(A503="","",COUNTIF('Output Rexa'!$B$2:$B$1000,A503))</f>
      </c>
      <c r="E503" s="4">
        <f>IF(A503="","",B503-C503-D503)</f>
      </c>
    </row>
    <row r="504">
      <c r="A504" s="5">
        <f>IFERROR(INDEX('Input Barang'!$B$2:$B$1000,493),"")</f>
      </c>
      <c r="B504" s="4">
        <f>IF(A504="","",COUNTIF('Input Barang'!$B$2:$B$1000,A504))</f>
      </c>
      <c r="C504" s="4">
        <f>IF(A504="","",COUNTIF('Output Agus'!$B$2:$B$1000,A504))</f>
      </c>
      <c r="D504" s="4">
        <f>IF(A504="","",COUNTIF('Output Rexa'!$B$2:$B$1000,A504))</f>
      </c>
      <c r="E504" s="4">
        <f>IF(A504="","",B504-C504-D504)</f>
      </c>
    </row>
    <row r="505">
      <c r="A505" s="5">
        <f>IFERROR(INDEX('Input Barang'!$B$2:$B$1000,494),"")</f>
      </c>
      <c r="B505" s="4">
        <f>IF(A505="","",COUNTIF('Input Barang'!$B$2:$B$1000,A505))</f>
      </c>
      <c r="C505" s="4">
        <f>IF(A505="","",COUNTIF('Output Agus'!$B$2:$B$1000,A505))</f>
      </c>
      <c r="D505" s="4">
        <f>IF(A505="","",COUNTIF('Output Rexa'!$B$2:$B$1000,A505))</f>
      </c>
      <c r="E505" s="4">
        <f>IF(A505="","",B505-C505-D505)</f>
      </c>
    </row>
    <row r="506">
      <c r="A506" s="5">
        <f>IFERROR(INDEX('Input Barang'!$B$2:$B$1000,495),"")</f>
      </c>
      <c r="B506" s="4">
        <f>IF(A506="","",COUNTIF('Input Barang'!$B$2:$B$1000,A506))</f>
      </c>
      <c r="C506" s="4">
        <f>IF(A506="","",COUNTIF('Output Agus'!$B$2:$B$1000,A506))</f>
      </c>
      <c r="D506" s="4">
        <f>IF(A506="","",COUNTIF('Output Rexa'!$B$2:$B$1000,A506))</f>
      </c>
      <c r="E506" s="4">
        <f>IF(A506="","",B506-C506-D506)</f>
      </c>
    </row>
    <row r="507">
      <c r="A507" s="5">
        <f>IFERROR(INDEX('Input Barang'!$B$2:$B$1000,496),"")</f>
      </c>
      <c r="B507" s="4">
        <f>IF(A507="","",COUNTIF('Input Barang'!$B$2:$B$1000,A507))</f>
      </c>
      <c r="C507" s="4">
        <f>IF(A507="","",COUNTIF('Output Agus'!$B$2:$B$1000,A507))</f>
      </c>
      <c r="D507" s="4">
        <f>IF(A507="","",COUNTIF('Output Rexa'!$B$2:$B$1000,A507))</f>
      </c>
      <c r="E507" s="4">
        <f>IF(A507="","",B507-C507-D507)</f>
      </c>
    </row>
    <row r="508">
      <c r="A508" s="5">
        <f>IFERROR(INDEX('Input Barang'!$B$2:$B$1000,497),"")</f>
      </c>
      <c r="B508" s="4">
        <f>IF(A508="","",COUNTIF('Input Barang'!$B$2:$B$1000,A508))</f>
      </c>
      <c r="C508" s="4">
        <f>IF(A508="","",COUNTIF('Output Agus'!$B$2:$B$1000,A508))</f>
      </c>
      <c r="D508" s="4">
        <f>IF(A508="","",COUNTIF('Output Rexa'!$B$2:$B$1000,A508))</f>
      </c>
      <c r="E508" s="4">
        <f>IF(A508="","",B508-C508-D508)</f>
      </c>
    </row>
    <row r="509">
      <c r="A509" s="5">
        <f>IFERROR(INDEX('Input Barang'!$B$2:$B$1000,498),"")</f>
      </c>
      <c r="B509" s="4">
        <f>IF(A509="","",COUNTIF('Input Barang'!$B$2:$B$1000,A509))</f>
      </c>
      <c r="C509" s="4">
        <f>IF(A509="","",COUNTIF('Output Agus'!$B$2:$B$1000,A509))</f>
      </c>
      <c r="D509" s="4">
        <f>IF(A509="","",COUNTIF('Output Rexa'!$B$2:$B$1000,A509))</f>
      </c>
      <c r="E509" s="4">
        <f>IF(A509="","",B509-C509-D509)</f>
      </c>
    </row>
    <row r="510">
      <c r="A510" s="5">
        <f>IFERROR(INDEX('Input Barang'!$B$2:$B$1000,499),"")</f>
      </c>
      <c r="B510" s="4">
        <f>IF(A510="","",COUNTIF('Input Barang'!$B$2:$B$1000,A510))</f>
      </c>
      <c r="C510" s="4">
        <f>IF(A510="","",COUNTIF('Output Agus'!$B$2:$B$1000,A510))</f>
      </c>
      <c r="D510" s="4">
        <f>IF(A510="","",COUNTIF('Output Rexa'!$B$2:$B$1000,A510))</f>
      </c>
      <c r="E510" s="4">
        <f>IF(A510="","",B510-C510-D510)</f>
      </c>
    </row>
    <row r="511">
      <c r="A511" s="5">
        <f>IFERROR(INDEX('Input Barang'!$B$2:$B$1000,500),"")</f>
      </c>
      <c r="B511" s="4">
        <f>IF(A511="","",COUNTIF('Input Barang'!$B$2:$B$1000,A511))</f>
      </c>
      <c r="C511" s="4">
        <f>IF(A511="","",COUNTIF('Output Agus'!$B$2:$B$1000,A511))</f>
      </c>
      <c r="D511" s="4">
        <f>IF(A511="","",COUNTIF('Output Rexa'!$B$2:$B$1000,A511))</f>
      </c>
      <c r="E511" s="4">
        <f>IF(A511="","",B511-C511-D511)</f>
      </c>
    </row>
    <row r="512">
      <c r="A512" s="5">
        <f>IFERROR(INDEX('Input Barang'!$B$2:$B$1000,501),"")</f>
      </c>
      <c r="B512" s="4">
        <f>IF(A512="","",COUNTIF('Input Barang'!$B$2:$B$1000,A512))</f>
      </c>
      <c r="C512" s="4">
        <f>IF(A512="","",COUNTIF('Output Agus'!$B$2:$B$1000,A512))</f>
      </c>
      <c r="D512" s="4">
        <f>IF(A512="","",COUNTIF('Output Rexa'!$B$2:$B$1000,A512))</f>
      </c>
      <c r="E512" s="4">
        <f>IF(A512="","",B512-C512-D512)</f>
      </c>
    </row>
    <row r="513">
      <c r="A513" s="5">
        <f>IFERROR(INDEX('Input Barang'!$B$2:$B$1000,502),"")</f>
      </c>
      <c r="B513" s="4">
        <f>IF(A513="","",COUNTIF('Input Barang'!$B$2:$B$1000,A513))</f>
      </c>
      <c r="C513" s="4">
        <f>IF(A513="","",COUNTIF('Output Agus'!$B$2:$B$1000,A513))</f>
      </c>
      <c r="D513" s="4">
        <f>IF(A513="","",COUNTIF('Output Rexa'!$B$2:$B$1000,A513))</f>
      </c>
      <c r="E513" s="4">
        <f>IF(A513="","",B513-C513-D513)</f>
      </c>
    </row>
    <row r="514">
      <c r="A514" s="5">
        <f>IFERROR(INDEX('Input Barang'!$B$2:$B$1000,503),"")</f>
      </c>
      <c r="B514" s="4">
        <f>IF(A514="","",COUNTIF('Input Barang'!$B$2:$B$1000,A514))</f>
      </c>
      <c r="C514" s="4">
        <f>IF(A514="","",COUNTIF('Output Agus'!$B$2:$B$1000,A514))</f>
      </c>
      <c r="D514" s="4">
        <f>IF(A514="","",COUNTIF('Output Rexa'!$B$2:$B$1000,A514))</f>
      </c>
      <c r="E514" s="4">
        <f>IF(A514="","",B514-C514-D514)</f>
      </c>
    </row>
    <row r="515">
      <c r="A515" s="5">
        <f>IFERROR(INDEX('Input Barang'!$B$2:$B$1000,504),"")</f>
      </c>
      <c r="B515" s="4">
        <f>IF(A515="","",COUNTIF('Input Barang'!$B$2:$B$1000,A515))</f>
      </c>
      <c r="C515" s="4">
        <f>IF(A515="","",COUNTIF('Output Agus'!$B$2:$B$1000,A515))</f>
      </c>
      <c r="D515" s="4">
        <f>IF(A515="","",COUNTIF('Output Rexa'!$B$2:$B$1000,A515))</f>
      </c>
      <c r="E515" s="4">
        <f>IF(A515="","",B515-C515-D515)</f>
      </c>
    </row>
    <row r="516">
      <c r="A516" s="5">
        <f>IFERROR(INDEX('Input Barang'!$B$2:$B$1000,505),"")</f>
      </c>
      <c r="B516" s="4">
        <f>IF(A516="","",COUNTIF('Input Barang'!$B$2:$B$1000,A516))</f>
      </c>
      <c r="C516" s="4">
        <f>IF(A516="","",COUNTIF('Output Agus'!$B$2:$B$1000,A516))</f>
      </c>
      <c r="D516" s="4">
        <f>IF(A516="","",COUNTIF('Output Rexa'!$B$2:$B$1000,A516))</f>
      </c>
      <c r="E516" s="4">
        <f>IF(A516="","",B516-C516-D516)</f>
      </c>
    </row>
    <row r="517">
      <c r="A517" s="5">
        <f>IFERROR(INDEX('Input Barang'!$B$2:$B$1000,506),"")</f>
      </c>
      <c r="B517" s="4">
        <f>IF(A517="","",COUNTIF('Input Barang'!$B$2:$B$1000,A517))</f>
      </c>
      <c r="C517" s="4">
        <f>IF(A517="","",COUNTIF('Output Agus'!$B$2:$B$1000,A517))</f>
      </c>
      <c r="D517" s="4">
        <f>IF(A517="","",COUNTIF('Output Rexa'!$B$2:$B$1000,A517))</f>
      </c>
      <c r="E517" s="4">
        <f>IF(A517="","",B517-C517-D517)</f>
      </c>
    </row>
    <row r="518">
      <c r="A518" s="5">
        <f>IFERROR(INDEX('Input Barang'!$B$2:$B$1000,507),"")</f>
      </c>
      <c r="B518" s="4">
        <f>IF(A518="","",COUNTIF('Input Barang'!$B$2:$B$1000,A518))</f>
      </c>
      <c r="C518" s="4">
        <f>IF(A518="","",COUNTIF('Output Agus'!$B$2:$B$1000,A518))</f>
      </c>
      <c r="D518" s="4">
        <f>IF(A518="","",COUNTIF('Output Rexa'!$B$2:$B$1000,A518))</f>
      </c>
      <c r="E518" s="4">
        <f>IF(A518="","",B518-C518-D518)</f>
      </c>
    </row>
    <row r="519">
      <c r="A519" s="5">
        <f>IFERROR(INDEX('Input Barang'!$B$2:$B$1000,508),"")</f>
      </c>
      <c r="B519" s="4">
        <f>IF(A519="","",COUNTIF('Input Barang'!$B$2:$B$1000,A519))</f>
      </c>
      <c r="C519" s="4">
        <f>IF(A519="","",COUNTIF('Output Agus'!$B$2:$B$1000,A519))</f>
      </c>
      <c r="D519" s="4">
        <f>IF(A519="","",COUNTIF('Output Rexa'!$B$2:$B$1000,A519))</f>
      </c>
      <c r="E519" s="4">
        <f>IF(A519="","",B519-C519-D519)</f>
      </c>
    </row>
    <row r="520">
      <c r="A520" s="5">
        <f>IFERROR(INDEX('Input Barang'!$B$2:$B$1000,509),"")</f>
      </c>
      <c r="B520" s="4">
        <f>IF(A520="","",COUNTIF('Input Barang'!$B$2:$B$1000,A520))</f>
      </c>
      <c r="C520" s="4">
        <f>IF(A520="","",COUNTIF('Output Agus'!$B$2:$B$1000,A520))</f>
      </c>
      <c r="D520" s="4">
        <f>IF(A520="","",COUNTIF('Output Rexa'!$B$2:$B$1000,A520))</f>
      </c>
      <c r="E520" s="4">
        <f>IF(A520="","",B520-C520-D520)</f>
      </c>
    </row>
    <row r="521">
      <c r="A521" s="5">
        <f>IFERROR(INDEX('Input Barang'!$B$2:$B$1000,510),"")</f>
      </c>
      <c r="B521" s="4">
        <f>IF(A521="","",COUNTIF('Input Barang'!$B$2:$B$1000,A521))</f>
      </c>
      <c r="C521" s="4">
        <f>IF(A521="","",COUNTIF('Output Agus'!$B$2:$B$1000,A521))</f>
      </c>
      <c r="D521" s="4">
        <f>IF(A521="","",COUNTIF('Output Rexa'!$B$2:$B$1000,A521))</f>
      </c>
      <c r="E521" s="4">
        <f>IF(A521="","",B521-C521-D521)</f>
      </c>
    </row>
    <row r="522">
      <c r="A522" s="5">
        <f>IFERROR(INDEX('Input Barang'!$B$2:$B$1000,511),"")</f>
      </c>
      <c r="B522" s="4">
        <f>IF(A522="","",COUNTIF('Input Barang'!$B$2:$B$1000,A522))</f>
      </c>
      <c r="C522" s="4">
        <f>IF(A522="","",COUNTIF('Output Agus'!$B$2:$B$1000,A522))</f>
      </c>
      <c r="D522" s="4">
        <f>IF(A522="","",COUNTIF('Output Rexa'!$B$2:$B$1000,A522))</f>
      </c>
      <c r="E522" s="4">
        <f>IF(A522="","",B522-C522-D522)</f>
      </c>
    </row>
    <row r="523">
      <c r="A523" s="5">
        <f>IFERROR(INDEX('Input Barang'!$B$2:$B$1000,512),"")</f>
      </c>
      <c r="B523" s="4">
        <f>IF(A523="","",COUNTIF('Input Barang'!$B$2:$B$1000,A523))</f>
      </c>
      <c r="C523" s="4">
        <f>IF(A523="","",COUNTIF('Output Agus'!$B$2:$B$1000,A523))</f>
      </c>
      <c r="D523" s="4">
        <f>IF(A523="","",COUNTIF('Output Rexa'!$B$2:$B$1000,A523))</f>
      </c>
      <c r="E523" s="4">
        <f>IF(A523="","",B523-C523-D523)</f>
      </c>
    </row>
    <row r="524">
      <c r="A524" s="5">
        <f>IFERROR(INDEX('Input Barang'!$B$2:$B$1000,513),"")</f>
      </c>
      <c r="B524" s="4">
        <f>IF(A524="","",COUNTIF('Input Barang'!$B$2:$B$1000,A524))</f>
      </c>
      <c r="C524" s="4">
        <f>IF(A524="","",COUNTIF('Output Agus'!$B$2:$B$1000,A524))</f>
      </c>
      <c r="D524" s="4">
        <f>IF(A524="","",COUNTIF('Output Rexa'!$B$2:$B$1000,A524))</f>
      </c>
      <c r="E524" s="4">
        <f>IF(A524="","",B524-C524-D524)</f>
      </c>
    </row>
    <row r="525">
      <c r="A525" s="5">
        <f>IFERROR(INDEX('Input Barang'!$B$2:$B$1000,514),"")</f>
      </c>
      <c r="B525" s="4">
        <f>IF(A525="","",COUNTIF('Input Barang'!$B$2:$B$1000,A525))</f>
      </c>
      <c r="C525" s="4">
        <f>IF(A525="","",COUNTIF('Output Agus'!$B$2:$B$1000,A525))</f>
      </c>
      <c r="D525" s="4">
        <f>IF(A525="","",COUNTIF('Output Rexa'!$B$2:$B$1000,A525))</f>
      </c>
      <c r="E525" s="4">
        <f>IF(A525="","",B525-C525-D525)</f>
      </c>
    </row>
    <row r="526">
      <c r="A526" s="5">
        <f>IFERROR(INDEX('Input Barang'!$B$2:$B$1000,515),"")</f>
      </c>
      <c r="B526" s="4">
        <f>IF(A526="","",COUNTIF('Input Barang'!$B$2:$B$1000,A526))</f>
      </c>
      <c r="C526" s="4">
        <f>IF(A526="","",COUNTIF('Output Agus'!$B$2:$B$1000,A526))</f>
      </c>
      <c r="D526" s="4">
        <f>IF(A526="","",COUNTIF('Output Rexa'!$B$2:$B$1000,A526))</f>
      </c>
      <c r="E526" s="4">
        <f>IF(A526="","",B526-C526-D526)</f>
      </c>
    </row>
    <row r="527">
      <c r="A527" s="5">
        <f>IFERROR(INDEX('Input Barang'!$B$2:$B$1000,516),"")</f>
      </c>
      <c r="B527" s="4">
        <f>IF(A527="","",COUNTIF('Input Barang'!$B$2:$B$1000,A527))</f>
      </c>
      <c r="C527" s="4">
        <f>IF(A527="","",COUNTIF('Output Agus'!$B$2:$B$1000,A527))</f>
      </c>
      <c r="D527" s="4">
        <f>IF(A527="","",COUNTIF('Output Rexa'!$B$2:$B$1000,A527))</f>
      </c>
      <c r="E527" s="4">
        <f>IF(A527="","",B527-C527-D527)</f>
      </c>
    </row>
    <row r="528">
      <c r="A528" s="5">
        <f>IFERROR(INDEX('Input Barang'!$B$2:$B$1000,517),"")</f>
      </c>
      <c r="B528" s="4">
        <f>IF(A528="","",COUNTIF('Input Barang'!$B$2:$B$1000,A528))</f>
      </c>
      <c r="C528" s="4">
        <f>IF(A528="","",COUNTIF('Output Agus'!$B$2:$B$1000,A528))</f>
      </c>
      <c r="D528" s="4">
        <f>IF(A528="","",COUNTIF('Output Rexa'!$B$2:$B$1000,A528))</f>
      </c>
      <c r="E528" s="4">
        <f>IF(A528="","",B528-C528-D528)</f>
      </c>
    </row>
    <row r="529">
      <c r="A529" s="5">
        <f>IFERROR(INDEX('Input Barang'!$B$2:$B$1000,518),"")</f>
      </c>
      <c r="B529" s="4">
        <f>IF(A529="","",COUNTIF('Input Barang'!$B$2:$B$1000,A529))</f>
      </c>
      <c r="C529" s="4">
        <f>IF(A529="","",COUNTIF('Output Agus'!$B$2:$B$1000,A529))</f>
      </c>
      <c r="D529" s="4">
        <f>IF(A529="","",COUNTIF('Output Rexa'!$B$2:$B$1000,A529))</f>
      </c>
      <c r="E529" s="4">
        <f>IF(A529="","",B529-C529-D529)</f>
      </c>
    </row>
    <row r="530">
      <c r="A530" s="5">
        <f>IFERROR(INDEX('Input Barang'!$B$2:$B$1000,519),"")</f>
      </c>
      <c r="B530" s="4">
        <f>IF(A530="","",COUNTIF('Input Barang'!$B$2:$B$1000,A530))</f>
      </c>
      <c r="C530" s="4">
        <f>IF(A530="","",COUNTIF('Output Agus'!$B$2:$B$1000,A530))</f>
      </c>
      <c r="D530" s="4">
        <f>IF(A530="","",COUNTIF('Output Rexa'!$B$2:$B$1000,A530))</f>
      </c>
      <c r="E530" s="4">
        <f>IF(A530="","",B530-C530-D530)</f>
      </c>
    </row>
    <row r="531">
      <c r="A531" s="5">
        <f>IFERROR(INDEX('Input Barang'!$B$2:$B$1000,520),"")</f>
      </c>
      <c r="B531" s="4">
        <f>IF(A531="","",COUNTIF('Input Barang'!$B$2:$B$1000,A531))</f>
      </c>
      <c r="C531" s="4">
        <f>IF(A531="","",COUNTIF('Output Agus'!$B$2:$B$1000,A531))</f>
      </c>
      <c r="D531" s="4">
        <f>IF(A531="","",COUNTIF('Output Rexa'!$B$2:$B$1000,A531))</f>
      </c>
      <c r="E531" s="4">
        <f>IF(A531="","",B531-C531-D531)</f>
      </c>
    </row>
    <row r="532">
      <c r="A532" s="5">
        <f>IFERROR(INDEX('Input Barang'!$B$2:$B$1000,521),"")</f>
      </c>
      <c r="B532" s="4">
        <f>IF(A532="","",COUNTIF('Input Barang'!$B$2:$B$1000,A532))</f>
      </c>
      <c r="C532" s="4">
        <f>IF(A532="","",COUNTIF('Output Agus'!$B$2:$B$1000,A532))</f>
      </c>
      <c r="D532" s="4">
        <f>IF(A532="","",COUNTIF('Output Rexa'!$B$2:$B$1000,A532))</f>
      </c>
      <c r="E532" s="4">
        <f>IF(A532="","",B532-C532-D532)</f>
      </c>
    </row>
    <row r="533">
      <c r="A533" s="5">
        <f>IFERROR(INDEX('Input Barang'!$B$2:$B$1000,522),"")</f>
      </c>
      <c r="B533" s="4">
        <f>IF(A533="","",COUNTIF('Input Barang'!$B$2:$B$1000,A533))</f>
      </c>
      <c r="C533" s="4">
        <f>IF(A533="","",COUNTIF('Output Agus'!$B$2:$B$1000,A533))</f>
      </c>
      <c r="D533" s="4">
        <f>IF(A533="","",COUNTIF('Output Rexa'!$B$2:$B$1000,A533))</f>
      </c>
      <c r="E533" s="4">
        <f>IF(A533="","",B533-C533-D533)</f>
      </c>
    </row>
    <row r="534">
      <c r="A534" s="5">
        <f>IFERROR(INDEX('Input Barang'!$B$2:$B$1000,523),"")</f>
      </c>
      <c r="B534" s="4">
        <f>IF(A534="","",COUNTIF('Input Barang'!$B$2:$B$1000,A534))</f>
      </c>
      <c r="C534" s="4">
        <f>IF(A534="","",COUNTIF('Output Agus'!$B$2:$B$1000,A534))</f>
      </c>
      <c r="D534" s="4">
        <f>IF(A534="","",COUNTIF('Output Rexa'!$B$2:$B$1000,A534))</f>
      </c>
      <c r="E534" s="4">
        <f>IF(A534="","",B534-C534-D534)</f>
      </c>
    </row>
    <row r="535">
      <c r="A535" s="5">
        <f>IFERROR(INDEX('Input Barang'!$B$2:$B$1000,524),"")</f>
      </c>
      <c r="B535" s="4">
        <f>IF(A535="","",COUNTIF('Input Barang'!$B$2:$B$1000,A535))</f>
      </c>
      <c r="C535" s="4">
        <f>IF(A535="","",COUNTIF('Output Agus'!$B$2:$B$1000,A535))</f>
      </c>
      <c r="D535" s="4">
        <f>IF(A535="","",COUNTIF('Output Rexa'!$B$2:$B$1000,A535))</f>
      </c>
      <c r="E535" s="4">
        <f>IF(A535="","",B535-C535-D535)</f>
      </c>
    </row>
    <row r="536">
      <c r="A536" s="5">
        <f>IFERROR(INDEX('Input Barang'!$B$2:$B$1000,525),"")</f>
      </c>
      <c r="B536" s="4">
        <f>IF(A536="","",COUNTIF('Input Barang'!$B$2:$B$1000,A536))</f>
      </c>
      <c r="C536" s="4">
        <f>IF(A536="","",COUNTIF('Output Agus'!$B$2:$B$1000,A536))</f>
      </c>
      <c r="D536" s="4">
        <f>IF(A536="","",COUNTIF('Output Rexa'!$B$2:$B$1000,A536))</f>
      </c>
      <c r="E536" s="4">
        <f>IF(A536="","",B536-C536-D536)</f>
      </c>
    </row>
    <row r="537">
      <c r="A537" s="5">
        <f>IFERROR(INDEX('Input Barang'!$B$2:$B$1000,526),"")</f>
      </c>
      <c r="B537" s="4">
        <f>IF(A537="","",COUNTIF('Input Barang'!$B$2:$B$1000,A537))</f>
      </c>
      <c r="C537" s="4">
        <f>IF(A537="","",COUNTIF('Output Agus'!$B$2:$B$1000,A537))</f>
      </c>
      <c r="D537" s="4">
        <f>IF(A537="","",COUNTIF('Output Rexa'!$B$2:$B$1000,A537))</f>
      </c>
      <c r="E537" s="4">
        <f>IF(A537="","",B537-C537-D537)</f>
      </c>
    </row>
    <row r="538">
      <c r="A538" s="5">
        <f>IFERROR(INDEX('Input Barang'!$B$2:$B$1000,527),"")</f>
      </c>
      <c r="B538" s="4">
        <f>IF(A538="","",COUNTIF('Input Barang'!$B$2:$B$1000,A538))</f>
      </c>
      <c r="C538" s="4">
        <f>IF(A538="","",COUNTIF('Output Agus'!$B$2:$B$1000,A538))</f>
      </c>
      <c r="D538" s="4">
        <f>IF(A538="","",COUNTIF('Output Rexa'!$B$2:$B$1000,A538))</f>
      </c>
      <c r="E538" s="4">
        <f>IF(A538="","",B538-C538-D538)</f>
      </c>
    </row>
    <row r="539">
      <c r="A539" s="5">
        <f>IFERROR(INDEX('Input Barang'!$B$2:$B$1000,528),"")</f>
      </c>
      <c r="B539" s="4">
        <f>IF(A539="","",COUNTIF('Input Barang'!$B$2:$B$1000,A539))</f>
      </c>
      <c r="C539" s="4">
        <f>IF(A539="","",COUNTIF('Output Agus'!$B$2:$B$1000,A539))</f>
      </c>
      <c r="D539" s="4">
        <f>IF(A539="","",COUNTIF('Output Rexa'!$B$2:$B$1000,A539))</f>
      </c>
      <c r="E539" s="4">
        <f>IF(A539="","",B539-C539-D539)</f>
      </c>
    </row>
    <row r="540">
      <c r="A540" s="5">
        <f>IFERROR(INDEX('Input Barang'!$B$2:$B$1000,529),"")</f>
      </c>
      <c r="B540" s="4">
        <f>IF(A540="","",COUNTIF('Input Barang'!$B$2:$B$1000,A540))</f>
      </c>
      <c r="C540" s="4">
        <f>IF(A540="","",COUNTIF('Output Agus'!$B$2:$B$1000,A540))</f>
      </c>
      <c r="D540" s="4">
        <f>IF(A540="","",COUNTIF('Output Rexa'!$B$2:$B$1000,A540))</f>
      </c>
      <c r="E540" s="4">
        <f>IF(A540="","",B540-C540-D540)</f>
      </c>
    </row>
    <row r="541">
      <c r="A541" s="5">
        <f>IFERROR(INDEX('Input Barang'!$B$2:$B$1000,530),"")</f>
      </c>
      <c r="B541" s="4">
        <f>IF(A541="","",COUNTIF('Input Barang'!$B$2:$B$1000,A541))</f>
      </c>
      <c r="C541" s="4">
        <f>IF(A541="","",COUNTIF('Output Agus'!$B$2:$B$1000,A541))</f>
      </c>
      <c r="D541" s="4">
        <f>IF(A541="","",COUNTIF('Output Rexa'!$B$2:$B$1000,A541))</f>
      </c>
      <c r="E541" s="4">
        <f>IF(A541="","",B541-C541-D541)</f>
      </c>
    </row>
    <row r="542">
      <c r="A542" s="5">
        <f>IFERROR(INDEX('Input Barang'!$B$2:$B$1000,531),"")</f>
      </c>
      <c r="B542" s="4">
        <f>IF(A542="","",COUNTIF('Input Barang'!$B$2:$B$1000,A542))</f>
      </c>
      <c r="C542" s="4">
        <f>IF(A542="","",COUNTIF('Output Agus'!$B$2:$B$1000,A542))</f>
      </c>
      <c r="D542" s="4">
        <f>IF(A542="","",COUNTIF('Output Rexa'!$B$2:$B$1000,A542))</f>
      </c>
      <c r="E542" s="4">
        <f>IF(A542="","",B542-C542-D542)</f>
      </c>
    </row>
    <row r="543">
      <c r="A543" s="5">
        <f>IFERROR(INDEX('Input Barang'!$B$2:$B$1000,532),"")</f>
      </c>
      <c r="B543" s="4">
        <f>IF(A543="","",COUNTIF('Input Barang'!$B$2:$B$1000,A543))</f>
      </c>
      <c r="C543" s="4">
        <f>IF(A543="","",COUNTIF('Output Agus'!$B$2:$B$1000,A543))</f>
      </c>
      <c r="D543" s="4">
        <f>IF(A543="","",COUNTIF('Output Rexa'!$B$2:$B$1000,A543))</f>
      </c>
      <c r="E543" s="4">
        <f>IF(A543="","",B543-C543-D543)</f>
      </c>
    </row>
    <row r="544">
      <c r="A544" s="5">
        <f>IFERROR(INDEX('Input Barang'!$B$2:$B$1000,533),"")</f>
      </c>
      <c r="B544" s="4">
        <f>IF(A544="","",COUNTIF('Input Barang'!$B$2:$B$1000,A544))</f>
      </c>
      <c r="C544" s="4">
        <f>IF(A544="","",COUNTIF('Output Agus'!$B$2:$B$1000,A544))</f>
      </c>
      <c r="D544" s="4">
        <f>IF(A544="","",COUNTIF('Output Rexa'!$B$2:$B$1000,A544))</f>
      </c>
      <c r="E544" s="4">
        <f>IF(A544="","",B544-C544-D544)</f>
      </c>
    </row>
    <row r="545">
      <c r="A545" s="5">
        <f>IFERROR(INDEX('Input Barang'!$B$2:$B$1000,534),"")</f>
      </c>
      <c r="B545" s="4">
        <f>IF(A545="","",COUNTIF('Input Barang'!$B$2:$B$1000,A545))</f>
      </c>
      <c r="C545" s="4">
        <f>IF(A545="","",COUNTIF('Output Agus'!$B$2:$B$1000,A545))</f>
      </c>
      <c r="D545" s="4">
        <f>IF(A545="","",COUNTIF('Output Rexa'!$B$2:$B$1000,A545))</f>
      </c>
      <c r="E545" s="4">
        <f>IF(A545="","",B545-C545-D545)</f>
      </c>
    </row>
    <row r="546">
      <c r="A546" s="5">
        <f>IFERROR(INDEX('Input Barang'!$B$2:$B$1000,535),"")</f>
      </c>
      <c r="B546" s="4">
        <f>IF(A546="","",COUNTIF('Input Barang'!$B$2:$B$1000,A546))</f>
      </c>
      <c r="C546" s="4">
        <f>IF(A546="","",COUNTIF('Output Agus'!$B$2:$B$1000,A546))</f>
      </c>
      <c r="D546" s="4">
        <f>IF(A546="","",COUNTIF('Output Rexa'!$B$2:$B$1000,A546))</f>
      </c>
      <c r="E546" s="4">
        <f>IF(A546="","",B546-C546-D546)</f>
      </c>
    </row>
    <row r="547">
      <c r="A547" s="5">
        <f>IFERROR(INDEX('Input Barang'!$B$2:$B$1000,536),"")</f>
      </c>
      <c r="B547" s="4">
        <f>IF(A547="","",COUNTIF('Input Barang'!$B$2:$B$1000,A547))</f>
      </c>
      <c r="C547" s="4">
        <f>IF(A547="","",COUNTIF('Output Agus'!$B$2:$B$1000,A547))</f>
      </c>
      <c r="D547" s="4">
        <f>IF(A547="","",COUNTIF('Output Rexa'!$B$2:$B$1000,A547))</f>
      </c>
      <c r="E547" s="4">
        <f>IF(A547="","",B547-C547-D547)</f>
      </c>
    </row>
    <row r="548">
      <c r="A548" s="5">
        <f>IFERROR(INDEX('Input Barang'!$B$2:$B$1000,537),"")</f>
      </c>
      <c r="B548" s="4">
        <f>IF(A548="","",COUNTIF('Input Barang'!$B$2:$B$1000,A548))</f>
      </c>
      <c r="C548" s="4">
        <f>IF(A548="","",COUNTIF('Output Agus'!$B$2:$B$1000,A548))</f>
      </c>
      <c r="D548" s="4">
        <f>IF(A548="","",COUNTIF('Output Rexa'!$B$2:$B$1000,A548))</f>
      </c>
      <c r="E548" s="4">
        <f>IF(A548="","",B548-C548-D548)</f>
      </c>
    </row>
    <row r="549">
      <c r="A549" s="5">
        <f>IFERROR(INDEX('Input Barang'!$B$2:$B$1000,538),"")</f>
      </c>
      <c r="B549" s="4">
        <f>IF(A549="","",COUNTIF('Input Barang'!$B$2:$B$1000,A549))</f>
      </c>
      <c r="C549" s="4">
        <f>IF(A549="","",COUNTIF('Output Agus'!$B$2:$B$1000,A549))</f>
      </c>
      <c r="D549" s="4">
        <f>IF(A549="","",COUNTIF('Output Rexa'!$B$2:$B$1000,A549))</f>
      </c>
      <c r="E549" s="4">
        <f>IF(A549="","",B549-C549-D549)</f>
      </c>
    </row>
    <row r="550">
      <c r="A550" s="5">
        <f>IFERROR(INDEX('Input Barang'!$B$2:$B$1000,539),"")</f>
      </c>
      <c r="B550" s="4">
        <f>IF(A550="","",COUNTIF('Input Barang'!$B$2:$B$1000,A550))</f>
      </c>
      <c r="C550" s="4">
        <f>IF(A550="","",COUNTIF('Output Agus'!$B$2:$B$1000,A550))</f>
      </c>
      <c r="D550" s="4">
        <f>IF(A550="","",COUNTIF('Output Rexa'!$B$2:$B$1000,A550))</f>
      </c>
      <c r="E550" s="4">
        <f>IF(A550="","",B550-C550-D550)</f>
      </c>
    </row>
    <row r="551">
      <c r="A551" s="5">
        <f>IFERROR(INDEX('Input Barang'!$B$2:$B$1000,540),"")</f>
      </c>
      <c r="B551" s="4">
        <f>IF(A551="","",COUNTIF('Input Barang'!$B$2:$B$1000,A551))</f>
      </c>
      <c r="C551" s="4">
        <f>IF(A551="","",COUNTIF('Output Agus'!$B$2:$B$1000,A551))</f>
      </c>
      <c r="D551" s="4">
        <f>IF(A551="","",COUNTIF('Output Rexa'!$B$2:$B$1000,A551))</f>
      </c>
      <c r="E551" s="4">
        <f>IF(A551="","",B551-C551-D551)</f>
      </c>
    </row>
    <row r="552">
      <c r="A552" s="5">
        <f>IFERROR(INDEX('Input Barang'!$B$2:$B$1000,541),"")</f>
      </c>
      <c r="B552" s="4">
        <f>IF(A552="","",COUNTIF('Input Barang'!$B$2:$B$1000,A552))</f>
      </c>
      <c r="C552" s="4">
        <f>IF(A552="","",COUNTIF('Output Agus'!$B$2:$B$1000,A552))</f>
      </c>
      <c r="D552" s="4">
        <f>IF(A552="","",COUNTIF('Output Rexa'!$B$2:$B$1000,A552))</f>
      </c>
      <c r="E552" s="4">
        <f>IF(A552="","",B552-C552-D552)</f>
      </c>
    </row>
    <row r="553">
      <c r="A553" s="5">
        <f>IFERROR(INDEX('Input Barang'!$B$2:$B$1000,542),"")</f>
      </c>
      <c r="B553" s="4">
        <f>IF(A553="","",COUNTIF('Input Barang'!$B$2:$B$1000,A553))</f>
      </c>
      <c r="C553" s="4">
        <f>IF(A553="","",COUNTIF('Output Agus'!$B$2:$B$1000,A553))</f>
      </c>
      <c r="D553" s="4">
        <f>IF(A553="","",COUNTIF('Output Rexa'!$B$2:$B$1000,A553))</f>
      </c>
      <c r="E553" s="4">
        <f>IF(A553="","",B553-C553-D553)</f>
      </c>
    </row>
    <row r="554">
      <c r="A554" s="5">
        <f>IFERROR(INDEX('Input Barang'!$B$2:$B$1000,543),"")</f>
      </c>
      <c r="B554" s="4">
        <f>IF(A554="","",COUNTIF('Input Barang'!$B$2:$B$1000,A554))</f>
      </c>
      <c r="C554" s="4">
        <f>IF(A554="","",COUNTIF('Output Agus'!$B$2:$B$1000,A554))</f>
      </c>
      <c r="D554" s="4">
        <f>IF(A554="","",COUNTIF('Output Rexa'!$B$2:$B$1000,A554))</f>
      </c>
      <c r="E554" s="4">
        <f>IF(A554="","",B554-C554-D554)</f>
      </c>
    </row>
    <row r="555">
      <c r="A555" s="5">
        <f>IFERROR(INDEX('Input Barang'!$B$2:$B$1000,544),"")</f>
      </c>
      <c r="B555" s="4">
        <f>IF(A555="","",COUNTIF('Input Barang'!$B$2:$B$1000,A555))</f>
      </c>
      <c r="C555" s="4">
        <f>IF(A555="","",COUNTIF('Output Agus'!$B$2:$B$1000,A555))</f>
      </c>
      <c r="D555" s="4">
        <f>IF(A555="","",COUNTIF('Output Rexa'!$B$2:$B$1000,A555))</f>
      </c>
      <c r="E555" s="4">
        <f>IF(A555="","",B555-C555-D555)</f>
      </c>
    </row>
    <row r="556">
      <c r="A556" s="5">
        <f>IFERROR(INDEX('Input Barang'!$B$2:$B$1000,545),"")</f>
      </c>
      <c r="B556" s="4">
        <f>IF(A556="","",COUNTIF('Input Barang'!$B$2:$B$1000,A556))</f>
      </c>
      <c r="C556" s="4">
        <f>IF(A556="","",COUNTIF('Output Agus'!$B$2:$B$1000,A556))</f>
      </c>
      <c r="D556" s="4">
        <f>IF(A556="","",COUNTIF('Output Rexa'!$B$2:$B$1000,A556))</f>
      </c>
      <c r="E556" s="4">
        <f>IF(A556="","",B556-C556-D556)</f>
      </c>
    </row>
    <row r="557">
      <c r="A557" s="5">
        <f>IFERROR(INDEX('Input Barang'!$B$2:$B$1000,546),"")</f>
      </c>
      <c r="B557" s="4">
        <f>IF(A557="","",COUNTIF('Input Barang'!$B$2:$B$1000,A557))</f>
      </c>
      <c r="C557" s="4">
        <f>IF(A557="","",COUNTIF('Output Agus'!$B$2:$B$1000,A557))</f>
      </c>
      <c r="D557" s="4">
        <f>IF(A557="","",COUNTIF('Output Rexa'!$B$2:$B$1000,A557))</f>
      </c>
      <c r="E557" s="4">
        <f>IF(A557="","",B557-C557-D557)</f>
      </c>
    </row>
    <row r="558">
      <c r="A558" s="5">
        <f>IFERROR(INDEX('Input Barang'!$B$2:$B$1000,547),"")</f>
      </c>
      <c r="B558" s="4">
        <f>IF(A558="","",COUNTIF('Input Barang'!$B$2:$B$1000,A558))</f>
      </c>
      <c r="C558" s="4">
        <f>IF(A558="","",COUNTIF('Output Agus'!$B$2:$B$1000,A558))</f>
      </c>
      <c r="D558" s="4">
        <f>IF(A558="","",COUNTIF('Output Rexa'!$B$2:$B$1000,A558))</f>
      </c>
      <c r="E558" s="4">
        <f>IF(A558="","",B558-C558-D558)</f>
      </c>
    </row>
    <row r="559">
      <c r="A559" s="5">
        <f>IFERROR(INDEX('Input Barang'!$B$2:$B$1000,548),"")</f>
      </c>
      <c r="B559" s="4">
        <f>IF(A559="","",COUNTIF('Input Barang'!$B$2:$B$1000,A559))</f>
      </c>
      <c r="C559" s="4">
        <f>IF(A559="","",COUNTIF('Output Agus'!$B$2:$B$1000,A559))</f>
      </c>
      <c r="D559" s="4">
        <f>IF(A559="","",COUNTIF('Output Rexa'!$B$2:$B$1000,A559))</f>
      </c>
      <c r="E559" s="4">
        <f>IF(A559="","",B559-C559-D559)</f>
      </c>
    </row>
    <row r="560">
      <c r="A560" s="5">
        <f>IFERROR(INDEX('Input Barang'!$B$2:$B$1000,549),"")</f>
      </c>
      <c r="B560" s="4">
        <f>IF(A560="","",COUNTIF('Input Barang'!$B$2:$B$1000,A560))</f>
      </c>
      <c r="C560" s="4">
        <f>IF(A560="","",COUNTIF('Output Agus'!$B$2:$B$1000,A560))</f>
      </c>
      <c r="D560" s="4">
        <f>IF(A560="","",COUNTIF('Output Rexa'!$B$2:$B$1000,A560))</f>
      </c>
      <c r="E560" s="4">
        <f>IF(A560="","",B560-C560-D560)</f>
      </c>
    </row>
    <row r="561">
      <c r="A561" s="5">
        <f>IFERROR(INDEX('Input Barang'!$B$2:$B$1000,550),"")</f>
      </c>
      <c r="B561" s="4">
        <f>IF(A561="","",COUNTIF('Input Barang'!$B$2:$B$1000,A561))</f>
      </c>
      <c r="C561" s="4">
        <f>IF(A561="","",COUNTIF('Output Agus'!$B$2:$B$1000,A561))</f>
      </c>
      <c r="D561" s="4">
        <f>IF(A561="","",COUNTIF('Output Rexa'!$B$2:$B$1000,A561))</f>
      </c>
      <c r="E561" s="4">
        <f>IF(A561="","",B561-C561-D561)</f>
      </c>
    </row>
    <row r="562">
      <c r="A562" s="5">
        <f>IFERROR(INDEX('Input Barang'!$B$2:$B$1000,551),"")</f>
      </c>
      <c r="B562" s="4">
        <f>IF(A562="","",COUNTIF('Input Barang'!$B$2:$B$1000,A562))</f>
      </c>
      <c r="C562" s="4">
        <f>IF(A562="","",COUNTIF('Output Agus'!$B$2:$B$1000,A562))</f>
      </c>
      <c r="D562" s="4">
        <f>IF(A562="","",COUNTIF('Output Rexa'!$B$2:$B$1000,A562))</f>
      </c>
      <c r="E562" s="4">
        <f>IF(A562="","",B562-C562-D562)</f>
      </c>
    </row>
    <row r="563">
      <c r="A563" s="5">
        <f>IFERROR(INDEX('Input Barang'!$B$2:$B$1000,552),"")</f>
      </c>
      <c r="B563" s="4">
        <f>IF(A563="","",COUNTIF('Input Barang'!$B$2:$B$1000,A563))</f>
      </c>
      <c r="C563" s="4">
        <f>IF(A563="","",COUNTIF('Output Agus'!$B$2:$B$1000,A563))</f>
      </c>
      <c r="D563" s="4">
        <f>IF(A563="","",COUNTIF('Output Rexa'!$B$2:$B$1000,A563))</f>
      </c>
      <c r="E563" s="4">
        <f>IF(A563="","",B563-C563-D563)</f>
      </c>
    </row>
    <row r="564">
      <c r="A564" s="5">
        <f>IFERROR(INDEX('Input Barang'!$B$2:$B$1000,553),"")</f>
      </c>
      <c r="B564" s="4">
        <f>IF(A564="","",COUNTIF('Input Barang'!$B$2:$B$1000,A564))</f>
      </c>
      <c r="C564" s="4">
        <f>IF(A564="","",COUNTIF('Output Agus'!$B$2:$B$1000,A564))</f>
      </c>
      <c r="D564" s="4">
        <f>IF(A564="","",COUNTIF('Output Rexa'!$B$2:$B$1000,A564))</f>
      </c>
      <c r="E564" s="4">
        <f>IF(A564="","",B564-C564-D564)</f>
      </c>
    </row>
    <row r="565">
      <c r="A565" s="5">
        <f>IFERROR(INDEX('Input Barang'!$B$2:$B$1000,554),"")</f>
      </c>
      <c r="B565" s="4">
        <f>IF(A565="","",COUNTIF('Input Barang'!$B$2:$B$1000,A565))</f>
      </c>
      <c r="C565" s="4">
        <f>IF(A565="","",COUNTIF('Output Agus'!$B$2:$B$1000,A565))</f>
      </c>
      <c r="D565" s="4">
        <f>IF(A565="","",COUNTIF('Output Rexa'!$B$2:$B$1000,A565))</f>
      </c>
      <c r="E565" s="4">
        <f>IF(A565="","",B565-C565-D565)</f>
      </c>
    </row>
    <row r="566">
      <c r="A566" s="5">
        <f>IFERROR(INDEX('Input Barang'!$B$2:$B$1000,555),"")</f>
      </c>
      <c r="B566" s="4">
        <f>IF(A566="","",COUNTIF('Input Barang'!$B$2:$B$1000,A566))</f>
      </c>
      <c r="C566" s="4">
        <f>IF(A566="","",COUNTIF('Output Agus'!$B$2:$B$1000,A566))</f>
      </c>
      <c r="D566" s="4">
        <f>IF(A566="","",COUNTIF('Output Rexa'!$B$2:$B$1000,A566))</f>
      </c>
      <c r="E566" s="4">
        <f>IF(A566="","",B566-C566-D566)</f>
      </c>
    </row>
    <row r="567">
      <c r="A567" s="5">
        <f>IFERROR(INDEX('Input Barang'!$B$2:$B$1000,556),"")</f>
      </c>
      <c r="B567" s="4">
        <f>IF(A567="","",COUNTIF('Input Barang'!$B$2:$B$1000,A567))</f>
      </c>
      <c r="C567" s="4">
        <f>IF(A567="","",COUNTIF('Output Agus'!$B$2:$B$1000,A567))</f>
      </c>
      <c r="D567" s="4">
        <f>IF(A567="","",COUNTIF('Output Rexa'!$B$2:$B$1000,A567))</f>
      </c>
      <c r="E567" s="4">
        <f>IF(A567="","",B567-C567-D567)</f>
      </c>
    </row>
    <row r="568">
      <c r="A568" s="5">
        <f>IFERROR(INDEX('Input Barang'!$B$2:$B$1000,557),"")</f>
      </c>
      <c r="B568" s="4">
        <f>IF(A568="","",COUNTIF('Input Barang'!$B$2:$B$1000,A568))</f>
      </c>
      <c r="C568" s="4">
        <f>IF(A568="","",COUNTIF('Output Agus'!$B$2:$B$1000,A568))</f>
      </c>
      <c r="D568" s="4">
        <f>IF(A568="","",COUNTIF('Output Rexa'!$B$2:$B$1000,A568))</f>
      </c>
      <c r="E568" s="4">
        <f>IF(A568="","",B568-C568-D568)</f>
      </c>
    </row>
    <row r="569">
      <c r="A569" s="5">
        <f>IFERROR(INDEX('Input Barang'!$B$2:$B$1000,558),"")</f>
      </c>
      <c r="B569" s="4">
        <f>IF(A569="","",COUNTIF('Input Barang'!$B$2:$B$1000,A569))</f>
      </c>
      <c r="C569" s="4">
        <f>IF(A569="","",COUNTIF('Output Agus'!$B$2:$B$1000,A569))</f>
      </c>
      <c r="D569" s="4">
        <f>IF(A569="","",COUNTIF('Output Rexa'!$B$2:$B$1000,A569))</f>
      </c>
      <c r="E569" s="4">
        <f>IF(A569="","",B569-C569-D569)</f>
      </c>
    </row>
    <row r="570">
      <c r="A570" s="5">
        <f>IFERROR(INDEX('Input Barang'!$B$2:$B$1000,559),"")</f>
      </c>
      <c r="B570" s="4">
        <f>IF(A570="","",COUNTIF('Input Barang'!$B$2:$B$1000,A570))</f>
      </c>
      <c r="C570" s="4">
        <f>IF(A570="","",COUNTIF('Output Agus'!$B$2:$B$1000,A570))</f>
      </c>
      <c r="D570" s="4">
        <f>IF(A570="","",COUNTIF('Output Rexa'!$B$2:$B$1000,A570))</f>
      </c>
      <c r="E570" s="4">
        <f>IF(A570="","",B570-C570-D570)</f>
      </c>
    </row>
    <row r="571">
      <c r="A571" s="5">
        <f>IFERROR(INDEX('Input Barang'!$B$2:$B$1000,560),"")</f>
      </c>
      <c r="B571" s="4">
        <f>IF(A571="","",COUNTIF('Input Barang'!$B$2:$B$1000,A571))</f>
      </c>
      <c r="C571" s="4">
        <f>IF(A571="","",COUNTIF('Output Agus'!$B$2:$B$1000,A571))</f>
      </c>
      <c r="D571" s="4">
        <f>IF(A571="","",COUNTIF('Output Rexa'!$B$2:$B$1000,A571))</f>
      </c>
      <c r="E571" s="4">
        <f>IF(A571="","",B571-C571-D571)</f>
      </c>
    </row>
    <row r="572">
      <c r="A572" s="5">
        <f>IFERROR(INDEX('Input Barang'!$B$2:$B$1000,561),"")</f>
      </c>
      <c r="B572" s="4">
        <f>IF(A572="","",COUNTIF('Input Barang'!$B$2:$B$1000,A572))</f>
      </c>
      <c r="C572" s="4">
        <f>IF(A572="","",COUNTIF('Output Agus'!$B$2:$B$1000,A572))</f>
      </c>
      <c r="D572" s="4">
        <f>IF(A572="","",COUNTIF('Output Rexa'!$B$2:$B$1000,A572))</f>
      </c>
      <c r="E572" s="4">
        <f>IF(A572="","",B572-C572-D572)</f>
      </c>
    </row>
    <row r="573">
      <c r="A573" s="5">
        <f>IFERROR(INDEX('Input Barang'!$B$2:$B$1000,562),"")</f>
      </c>
      <c r="B573" s="4">
        <f>IF(A573="","",COUNTIF('Input Barang'!$B$2:$B$1000,A573))</f>
      </c>
      <c r="C573" s="4">
        <f>IF(A573="","",COUNTIF('Output Agus'!$B$2:$B$1000,A573))</f>
      </c>
      <c r="D573" s="4">
        <f>IF(A573="","",COUNTIF('Output Rexa'!$B$2:$B$1000,A573))</f>
      </c>
      <c r="E573" s="4">
        <f>IF(A573="","",B573-C573-D573)</f>
      </c>
    </row>
    <row r="574">
      <c r="A574" s="5">
        <f>IFERROR(INDEX('Input Barang'!$B$2:$B$1000,563),"")</f>
      </c>
      <c r="B574" s="4">
        <f>IF(A574="","",COUNTIF('Input Barang'!$B$2:$B$1000,A574))</f>
      </c>
      <c r="C574" s="4">
        <f>IF(A574="","",COUNTIF('Output Agus'!$B$2:$B$1000,A574))</f>
      </c>
      <c r="D574" s="4">
        <f>IF(A574="","",COUNTIF('Output Rexa'!$B$2:$B$1000,A574))</f>
      </c>
      <c r="E574" s="4">
        <f>IF(A574="","",B574-C574-D574)</f>
      </c>
    </row>
    <row r="575">
      <c r="A575" s="5">
        <f>IFERROR(INDEX('Input Barang'!$B$2:$B$1000,564),"")</f>
      </c>
      <c r="B575" s="4">
        <f>IF(A575="","",COUNTIF('Input Barang'!$B$2:$B$1000,A575))</f>
      </c>
      <c r="C575" s="4">
        <f>IF(A575="","",COUNTIF('Output Agus'!$B$2:$B$1000,A575))</f>
      </c>
      <c r="D575" s="4">
        <f>IF(A575="","",COUNTIF('Output Rexa'!$B$2:$B$1000,A575))</f>
      </c>
      <c r="E575" s="4">
        <f>IF(A575="","",B575-C575-D575)</f>
      </c>
    </row>
    <row r="576">
      <c r="A576" s="5">
        <f>IFERROR(INDEX('Input Barang'!$B$2:$B$1000,565),"")</f>
      </c>
      <c r="B576" s="4">
        <f>IF(A576="","",COUNTIF('Input Barang'!$B$2:$B$1000,A576))</f>
      </c>
      <c r="C576" s="4">
        <f>IF(A576="","",COUNTIF('Output Agus'!$B$2:$B$1000,A576))</f>
      </c>
      <c r="D576" s="4">
        <f>IF(A576="","",COUNTIF('Output Rexa'!$B$2:$B$1000,A576))</f>
      </c>
      <c r="E576" s="4">
        <f>IF(A576="","",B576-C576-D576)</f>
      </c>
    </row>
    <row r="577">
      <c r="A577" s="5">
        <f>IFERROR(INDEX('Input Barang'!$B$2:$B$1000,566),"")</f>
      </c>
      <c r="B577" s="4">
        <f>IF(A577="","",COUNTIF('Input Barang'!$B$2:$B$1000,A577))</f>
      </c>
      <c r="C577" s="4">
        <f>IF(A577="","",COUNTIF('Output Agus'!$B$2:$B$1000,A577))</f>
      </c>
      <c r="D577" s="4">
        <f>IF(A577="","",COUNTIF('Output Rexa'!$B$2:$B$1000,A577))</f>
      </c>
      <c r="E577" s="4">
        <f>IF(A577="","",B577-C577-D577)</f>
      </c>
    </row>
    <row r="578">
      <c r="A578" s="5">
        <f>IFERROR(INDEX('Input Barang'!$B$2:$B$1000,567),"")</f>
      </c>
      <c r="B578" s="4">
        <f>IF(A578="","",COUNTIF('Input Barang'!$B$2:$B$1000,A578))</f>
      </c>
      <c r="C578" s="4">
        <f>IF(A578="","",COUNTIF('Output Agus'!$B$2:$B$1000,A578))</f>
      </c>
      <c r="D578" s="4">
        <f>IF(A578="","",COUNTIF('Output Rexa'!$B$2:$B$1000,A578))</f>
      </c>
      <c r="E578" s="4">
        <f>IF(A578="","",B578-C578-D578)</f>
      </c>
    </row>
    <row r="579">
      <c r="A579" s="5">
        <f>IFERROR(INDEX('Input Barang'!$B$2:$B$1000,568),"")</f>
      </c>
      <c r="B579" s="4">
        <f>IF(A579="","",COUNTIF('Input Barang'!$B$2:$B$1000,A579))</f>
      </c>
      <c r="C579" s="4">
        <f>IF(A579="","",COUNTIF('Output Agus'!$B$2:$B$1000,A579))</f>
      </c>
      <c r="D579" s="4">
        <f>IF(A579="","",COUNTIF('Output Rexa'!$B$2:$B$1000,A579))</f>
      </c>
      <c r="E579" s="4">
        <f>IF(A579="","",B579-C579-D579)</f>
      </c>
    </row>
    <row r="580">
      <c r="A580" s="5">
        <f>IFERROR(INDEX('Input Barang'!$B$2:$B$1000,569),"")</f>
      </c>
      <c r="B580" s="4">
        <f>IF(A580="","",COUNTIF('Input Barang'!$B$2:$B$1000,A580))</f>
      </c>
      <c r="C580" s="4">
        <f>IF(A580="","",COUNTIF('Output Agus'!$B$2:$B$1000,A580))</f>
      </c>
      <c r="D580" s="4">
        <f>IF(A580="","",COUNTIF('Output Rexa'!$B$2:$B$1000,A580))</f>
      </c>
      <c r="E580" s="4">
        <f>IF(A580="","",B580-C580-D580)</f>
      </c>
    </row>
    <row r="581">
      <c r="A581" s="5">
        <f>IFERROR(INDEX('Input Barang'!$B$2:$B$1000,570),"")</f>
      </c>
      <c r="B581" s="4">
        <f>IF(A581="","",COUNTIF('Input Barang'!$B$2:$B$1000,A581))</f>
      </c>
      <c r="C581" s="4">
        <f>IF(A581="","",COUNTIF('Output Agus'!$B$2:$B$1000,A581))</f>
      </c>
      <c r="D581" s="4">
        <f>IF(A581="","",COUNTIF('Output Rexa'!$B$2:$B$1000,A581))</f>
      </c>
      <c r="E581" s="4">
        <f>IF(A581="","",B581-C581-D581)</f>
      </c>
    </row>
    <row r="582">
      <c r="A582" s="5">
        <f>IFERROR(INDEX('Input Barang'!$B$2:$B$1000,571),"")</f>
      </c>
      <c r="B582" s="4">
        <f>IF(A582="","",COUNTIF('Input Barang'!$B$2:$B$1000,A582))</f>
      </c>
      <c r="C582" s="4">
        <f>IF(A582="","",COUNTIF('Output Agus'!$B$2:$B$1000,A582))</f>
      </c>
      <c r="D582" s="4">
        <f>IF(A582="","",COUNTIF('Output Rexa'!$B$2:$B$1000,A582))</f>
      </c>
      <c r="E582" s="4">
        <f>IF(A582="","",B582-C582-D582)</f>
      </c>
    </row>
    <row r="583">
      <c r="A583" s="5">
        <f>IFERROR(INDEX('Input Barang'!$B$2:$B$1000,572),"")</f>
      </c>
      <c r="B583" s="4">
        <f>IF(A583="","",COUNTIF('Input Barang'!$B$2:$B$1000,A583))</f>
      </c>
      <c r="C583" s="4">
        <f>IF(A583="","",COUNTIF('Output Agus'!$B$2:$B$1000,A583))</f>
      </c>
      <c r="D583" s="4">
        <f>IF(A583="","",COUNTIF('Output Rexa'!$B$2:$B$1000,A583))</f>
      </c>
      <c r="E583" s="4">
        <f>IF(A583="","",B583-C583-D583)</f>
      </c>
    </row>
    <row r="584">
      <c r="A584" s="5">
        <f>IFERROR(INDEX('Input Barang'!$B$2:$B$1000,573),"")</f>
      </c>
      <c r="B584" s="4">
        <f>IF(A584="","",COUNTIF('Input Barang'!$B$2:$B$1000,A584))</f>
      </c>
      <c r="C584" s="4">
        <f>IF(A584="","",COUNTIF('Output Agus'!$B$2:$B$1000,A584))</f>
      </c>
      <c r="D584" s="4">
        <f>IF(A584="","",COUNTIF('Output Rexa'!$B$2:$B$1000,A584))</f>
      </c>
      <c r="E584" s="4">
        <f>IF(A584="","",B584-C584-D584)</f>
      </c>
    </row>
    <row r="585">
      <c r="A585" s="5">
        <f>IFERROR(INDEX('Input Barang'!$B$2:$B$1000,574),"")</f>
      </c>
      <c r="B585" s="4">
        <f>IF(A585="","",COUNTIF('Input Barang'!$B$2:$B$1000,A585))</f>
      </c>
      <c r="C585" s="4">
        <f>IF(A585="","",COUNTIF('Output Agus'!$B$2:$B$1000,A585))</f>
      </c>
      <c r="D585" s="4">
        <f>IF(A585="","",COUNTIF('Output Rexa'!$B$2:$B$1000,A585))</f>
      </c>
      <c r="E585" s="4">
        <f>IF(A585="","",B585-C585-D585)</f>
      </c>
    </row>
    <row r="586">
      <c r="A586" s="5">
        <f>IFERROR(INDEX('Input Barang'!$B$2:$B$1000,575),"")</f>
      </c>
      <c r="B586" s="4">
        <f>IF(A586="","",COUNTIF('Input Barang'!$B$2:$B$1000,A586))</f>
      </c>
      <c r="C586" s="4">
        <f>IF(A586="","",COUNTIF('Output Agus'!$B$2:$B$1000,A586))</f>
      </c>
      <c r="D586" s="4">
        <f>IF(A586="","",COUNTIF('Output Rexa'!$B$2:$B$1000,A586))</f>
      </c>
      <c r="E586" s="4">
        <f>IF(A586="","",B586-C586-D586)</f>
      </c>
    </row>
    <row r="587">
      <c r="A587" s="5">
        <f>IFERROR(INDEX('Input Barang'!$B$2:$B$1000,576),"")</f>
      </c>
      <c r="B587" s="4">
        <f>IF(A587="","",COUNTIF('Input Barang'!$B$2:$B$1000,A587))</f>
      </c>
      <c r="C587" s="4">
        <f>IF(A587="","",COUNTIF('Output Agus'!$B$2:$B$1000,A587))</f>
      </c>
      <c r="D587" s="4">
        <f>IF(A587="","",COUNTIF('Output Rexa'!$B$2:$B$1000,A587))</f>
      </c>
      <c r="E587" s="4">
        <f>IF(A587="","",B587-C587-D587)</f>
      </c>
    </row>
    <row r="588">
      <c r="A588" s="5">
        <f>IFERROR(INDEX('Input Barang'!$B$2:$B$1000,577),"")</f>
      </c>
      <c r="B588" s="4">
        <f>IF(A588="","",COUNTIF('Input Barang'!$B$2:$B$1000,A588))</f>
      </c>
      <c r="C588" s="4">
        <f>IF(A588="","",COUNTIF('Output Agus'!$B$2:$B$1000,A588))</f>
      </c>
      <c r="D588" s="4">
        <f>IF(A588="","",COUNTIF('Output Rexa'!$B$2:$B$1000,A588))</f>
      </c>
      <c r="E588" s="4">
        <f>IF(A588="","",B588-C588-D588)</f>
      </c>
    </row>
    <row r="589">
      <c r="A589" s="5">
        <f>IFERROR(INDEX('Input Barang'!$B$2:$B$1000,578),"")</f>
      </c>
      <c r="B589" s="4">
        <f>IF(A589="","",COUNTIF('Input Barang'!$B$2:$B$1000,A589))</f>
      </c>
      <c r="C589" s="4">
        <f>IF(A589="","",COUNTIF('Output Agus'!$B$2:$B$1000,A589))</f>
      </c>
      <c r="D589" s="4">
        <f>IF(A589="","",COUNTIF('Output Rexa'!$B$2:$B$1000,A589))</f>
      </c>
      <c r="E589" s="4">
        <f>IF(A589="","",B589-C589-D589)</f>
      </c>
    </row>
    <row r="590">
      <c r="A590" s="5">
        <f>IFERROR(INDEX('Input Barang'!$B$2:$B$1000,579),"")</f>
      </c>
      <c r="B590" s="4">
        <f>IF(A590="","",COUNTIF('Input Barang'!$B$2:$B$1000,A590))</f>
      </c>
      <c r="C590" s="4">
        <f>IF(A590="","",COUNTIF('Output Agus'!$B$2:$B$1000,A590))</f>
      </c>
      <c r="D590" s="4">
        <f>IF(A590="","",COUNTIF('Output Rexa'!$B$2:$B$1000,A590))</f>
      </c>
      <c r="E590" s="4">
        <f>IF(A590="","",B590-C590-D590)</f>
      </c>
    </row>
    <row r="591">
      <c r="A591" s="5">
        <f>IFERROR(INDEX('Input Barang'!$B$2:$B$1000,580),"")</f>
      </c>
      <c r="B591" s="4">
        <f>IF(A591="","",COUNTIF('Input Barang'!$B$2:$B$1000,A591))</f>
      </c>
      <c r="C591" s="4">
        <f>IF(A591="","",COUNTIF('Output Agus'!$B$2:$B$1000,A591))</f>
      </c>
      <c r="D591" s="4">
        <f>IF(A591="","",COUNTIF('Output Rexa'!$B$2:$B$1000,A591))</f>
      </c>
      <c r="E591" s="4">
        <f>IF(A591="","",B591-C591-D591)</f>
      </c>
    </row>
    <row r="592">
      <c r="A592" s="5">
        <f>IFERROR(INDEX('Input Barang'!$B$2:$B$1000,581),"")</f>
      </c>
      <c r="B592" s="4">
        <f>IF(A592="","",COUNTIF('Input Barang'!$B$2:$B$1000,A592))</f>
      </c>
      <c r="C592" s="4">
        <f>IF(A592="","",COUNTIF('Output Agus'!$B$2:$B$1000,A592))</f>
      </c>
      <c r="D592" s="4">
        <f>IF(A592="","",COUNTIF('Output Rexa'!$B$2:$B$1000,A592))</f>
      </c>
      <c r="E592" s="4">
        <f>IF(A592="","",B592-C592-D592)</f>
      </c>
    </row>
    <row r="593">
      <c r="A593" s="5">
        <f>IFERROR(INDEX('Input Barang'!$B$2:$B$1000,582),"")</f>
      </c>
      <c r="B593" s="4">
        <f>IF(A593="","",COUNTIF('Input Barang'!$B$2:$B$1000,A593))</f>
      </c>
      <c r="C593" s="4">
        <f>IF(A593="","",COUNTIF('Output Agus'!$B$2:$B$1000,A593))</f>
      </c>
      <c r="D593" s="4">
        <f>IF(A593="","",COUNTIF('Output Rexa'!$B$2:$B$1000,A593))</f>
      </c>
      <c r="E593" s="4">
        <f>IF(A593="","",B593-C593-D593)</f>
      </c>
    </row>
    <row r="594">
      <c r="A594" s="5">
        <f>IFERROR(INDEX('Input Barang'!$B$2:$B$1000,583),"")</f>
      </c>
      <c r="B594" s="4">
        <f>IF(A594="","",COUNTIF('Input Barang'!$B$2:$B$1000,A594))</f>
      </c>
      <c r="C594" s="4">
        <f>IF(A594="","",COUNTIF('Output Agus'!$B$2:$B$1000,A594))</f>
      </c>
      <c r="D594" s="4">
        <f>IF(A594="","",COUNTIF('Output Rexa'!$B$2:$B$1000,A594))</f>
      </c>
      <c r="E594" s="4">
        <f>IF(A594="","",B594-C594-D594)</f>
      </c>
    </row>
    <row r="595">
      <c r="A595" s="5">
        <f>IFERROR(INDEX('Input Barang'!$B$2:$B$1000,584),"")</f>
      </c>
      <c r="B595" s="4">
        <f>IF(A595="","",COUNTIF('Input Barang'!$B$2:$B$1000,A595))</f>
      </c>
      <c r="C595" s="4">
        <f>IF(A595="","",COUNTIF('Output Agus'!$B$2:$B$1000,A595))</f>
      </c>
      <c r="D595" s="4">
        <f>IF(A595="","",COUNTIF('Output Rexa'!$B$2:$B$1000,A595))</f>
      </c>
      <c r="E595" s="4">
        <f>IF(A595="","",B595-C595-D595)</f>
      </c>
    </row>
    <row r="596">
      <c r="A596" s="5">
        <f>IFERROR(INDEX('Input Barang'!$B$2:$B$1000,585),"")</f>
      </c>
      <c r="B596" s="4">
        <f>IF(A596="","",COUNTIF('Input Barang'!$B$2:$B$1000,A596))</f>
      </c>
      <c r="C596" s="4">
        <f>IF(A596="","",COUNTIF('Output Agus'!$B$2:$B$1000,A596))</f>
      </c>
      <c r="D596" s="4">
        <f>IF(A596="","",COUNTIF('Output Rexa'!$B$2:$B$1000,A596))</f>
      </c>
      <c r="E596" s="4">
        <f>IF(A596="","",B596-C596-D596)</f>
      </c>
    </row>
    <row r="597">
      <c r="A597" s="5">
        <f>IFERROR(INDEX('Input Barang'!$B$2:$B$1000,586),"")</f>
      </c>
      <c r="B597" s="4">
        <f>IF(A597="","",COUNTIF('Input Barang'!$B$2:$B$1000,A597))</f>
      </c>
      <c r="C597" s="4">
        <f>IF(A597="","",COUNTIF('Output Agus'!$B$2:$B$1000,A597))</f>
      </c>
      <c r="D597" s="4">
        <f>IF(A597="","",COUNTIF('Output Rexa'!$B$2:$B$1000,A597))</f>
      </c>
      <c r="E597" s="4">
        <f>IF(A597="","",B597-C597-D597)</f>
      </c>
    </row>
    <row r="598">
      <c r="A598" s="5">
        <f>IFERROR(INDEX('Input Barang'!$B$2:$B$1000,587),"")</f>
      </c>
      <c r="B598" s="4">
        <f>IF(A598="","",COUNTIF('Input Barang'!$B$2:$B$1000,A598))</f>
      </c>
      <c r="C598" s="4">
        <f>IF(A598="","",COUNTIF('Output Agus'!$B$2:$B$1000,A598))</f>
      </c>
      <c r="D598" s="4">
        <f>IF(A598="","",COUNTIF('Output Rexa'!$B$2:$B$1000,A598))</f>
      </c>
      <c r="E598" s="4">
        <f>IF(A598="","",B598-C598-D598)</f>
      </c>
    </row>
    <row r="599">
      <c r="A599" s="5">
        <f>IFERROR(INDEX('Input Barang'!$B$2:$B$1000,588),"")</f>
      </c>
      <c r="B599" s="4">
        <f>IF(A599="","",COUNTIF('Input Barang'!$B$2:$B$1000,A599))</f>
      </c>
      <c r="C599" s="4">
        <f>IF(A599="","",COUNTIF('Output Agus'!$B$2:$B$1000,A599))</f>
      </c>
      <c r="D599" s="4">
        <f>IF(A599="","",COUNTIF('Output Rexa'!$B$2:$B$1000,A599))</f>
      </c>
      <c r="E599" s="4">
        <f>IF(A599="","",B599-C599-D599)</f>
      </c>
    </row>
    <row r="600">
      <c r="A600" s="5">
        <f>IFERROR(INDEX('Input Barang'!$B$2:$B$1000,589),"")</f>
      </c>
      <c r="B600" s="4">
        <f>IF(A600="","",COUNTIF('Input Barang'!$B$2:$B$1000,A600))</f>
      </c>
      <c r="C600" s="4">
        <f>IF(A600="","",COUNTIF('Output Agus'!$B$2:$B$1000,A600))</f>
      </c>
      <c r="D600" s="4">
        <f>IF(A600="","",COUNTIF('Output Rexa'!$B$2:$B$1000,A600))</f>
      </c>
      <c r="E600" s="4">
        <f>IF(A600="","",B600-C600-D600)</f>
      </c>
    </row>
    <row r="601">
      <c r="A601" s="5">
        <f>IFERROR(INDEX('Input Barang'!$B$2:$B$1000,590),"")</f>
      </c>
      <c r="B601" s="4">
        <f>IF(A601="","",COUNTIF('Input Barang'!$B$2:$B$1000,A601))</f>
      </c>
      <c r="C601" s="4">
        <f>IF(A601="","",COUNTIF('Output Agus'!$B$2:$B$1000,A601))</f>
      </c>
      <c r="D601" s="4">
        <f>IF(A601="","",COUNTIF('Output Rexa'!$B$2:$B$1000,A601))</f>
      </c>
      <c r="E601" s="4">
        <f>IF(A601="","",B601-C601-D601)</f>
      </c>
    </row>
    <row r="602">
      <c r="A602" s="5">
        <f>IFERROR(INDEX('Input Barang'!$B$2:$B$1000,591),"")</f>
      </c>
      <c r="B602" s="4">
        <f>IF(A602="","",COUNTIF('Input Barang'!$B$2:$B$1000,A602))</f>
      </c>
      <c r="C602" s="4">
        <f>IF(A602="","",COUNTIF('Output Agus'!$B$2:$B$1000,A602))</f>
      </c>
      <c r="D602" s="4">
        <f>IF(A602="","",COUNTIF('Output Rexa'!$B$2:$B$1000,A602))</f>
      </c>
      <c r="E602" s="4">
        <f>IF(A602="","",B602-C602-D602)</f>
      </c>
    </row>
    <row r="603">
      <c r="A603" s="5">
        <f>IFERROR(INDEX('Input Barang'!$B$2:$B$1000,592),"")</f>
      </c>
      <c r="B603" s="4">
        <f>IF(A603="","",COUNTIF('Input Barang'!$B$2:$B$1000,A603))</f>
      </c>
      <c r="C603" s="4">
        <f>IF(A603="","",COUNTIF('Output Agus'!$B$2:$B$1000,A603))</f>
      </c>
      <c r="D603" s="4">
        <f>IF(A603="","",COUNTIF('Output Rexa'!$B$2:$B$1000,A603))</f>
      </c>
      <c r="E603" s="4">
        <f>IF(A603="","",B603-C603-D603)</f>
      </c>
    </row>
    <row r="604">
      <c r="A604" s="5">
        <f>IFERROR(INDEX('Input Barang'!$B$2:$B$1000,593),"")</f>
      </c>
      <c r="B604" s="4">
        <f>IF(A604="","",COUNTIF('Input Barang'!$B$2:$B$1000,A604))</f>
      </c>
      <c r="C604" s="4">
        <f>IF(A604="","",COUNTIF('Output Agus'!$B$2:$B$1000,A604))</f>
      </c>
      <c r="D604" s="4">
        <f>IF(A604="","",COUNTIF('Output Rexa'!$B$2:$B$1000,A604))</f>
      </c>
      <c r="E604" s="4">
        <f>IF(A604="","",B604-C604-D604)</f>
      </c>
    </row>
    <row r="605">
      <c r="A605" s="5">
        <f>IFERROR(INDEX('Input Barang'!$B$2:$B$1000,594),"")</f>
      </c>
      <c r="B605" s="4">
        <f>IF(A605="","",COUNTIF('Input Barang'!$B$2:$B$1000,A605))</f>
      </c>
      <c r="C605" s="4">
        <f>IF(A605="","",COUNTIF('Output Agus'!$B$2:$B$1000,A605))</f>
      </c>
      <c r="D605" s="4">
        <f>IF(A605="","",COUNTIF('Output Rexa'!$B$2:$B$1000,A605))</f>
      </c>
      <c r="E605" s="4">
        <f>IF(A605="","",B605-C605-D605)</f>
      </c>
    </row>
    <row r="606">
      <c r="A606" s="5">
        <f>IFERROR(INDEX('Input Barang'!$B$2:$B$1000,595),"")</f>
      </c>
      <c r="B606" s="4">
        <f>IF(A606="","",COUNTIF('Input Barang'!$B$2:$B$1000,A606))</f>
      </c>
      <c r="C606" s="4">
        <f>IF(A606="","",COUNTIF('Output Agus'!$B$2:$B$1000,A606))</f>
      </c>
      <c r="D606" s="4">
        <f>IF(A606="","",COUNTIF('Output Rexa'!$B$2:$B$1000,A606))</f>
      </c>
      <c r="E606" s="4">
        <f>IF(A606="","",B606-C606-D606)</f>
      </c>
    </row>
    <row r="607">
      <c r="A607" s="5">
        <f>IFERROR(INDEX('Input Barang'!$B$2:$B$1000,596),"")</f>
      </c>
      <c r="B607" s="4">
        <f>IF(A607="","",COUNTIF('Input Barang'!$B$2:$B$1000,A607))</f>
      </c>
      <c r="C607" s="4">
        <f>IF(A607="","",COUNTIF('Output Agus'!$B$2:$B$1000,A607))</f>
      </c>
      <c r="D607" s="4">
        <f>IF(A607="","",COUNTIF('Output Rexa'!$B$2:$B$1000,A607))</f>
      </c>
      <c r="E607" s="4">
        <f>IF(A607="","",B607-C607-D607)</f>
      </c>
    </row>
    <row r="608">
      <c r="A608" s="5">
        <f>IFERROR(INDEX('Input Barang'!$B$2:$B$1000,597),"")</f>
      </c>
      <c r="B608" s="4">
        <f>IF(A608="","",COUNTIF('Input Barang'!$B$2:$B$1000,A608))</f>
      </c>
      <c r="C608" s="4">
        <f>IF(A608="","",COUNTIF('Output Agus'!$B$2:$B$1000,A608))</f>
      </c>
      <c r="D608" s="4">
        <f>IF(A608="","",COUNTIF('Output Rexa'!$B$2:$B$1000,A608))</f>
      </c>
      <c r="E608" s="4">
        <f>IF(A608="","",B608-C608-D608)</f>
      </c>
    </row>
    <row r="609">
      <c r="A609" s="5">
        <f>IFERROR(INDEX('Input Barang'!$B$2:$B$1000,598),"")</f>
      </c>
      <c r="B609" s="4">
        <f>IF(A609="","",COUNTIF('Input Barang'!$B$2:$B$1000,A609))</f>
      </c>
      <c r="C609" s="4">
        <f>IF(A609="","",COUNTIF('Output Agus'!$B$2:$B$1000,A609))</f>
      </c>
      <c r="D609" s="4">
        <f>IF(A609="","",COUNTIF('Output Rexa'!$B$2:$B$1000,A609))</f>
      </c>
      <c r="E609" s="4">
        <f>IF(A609="","",B609-C609-D609)</f>
      </c>
    </row>
    <row r="610">
      <c r="A610" s="5">
        <f>IFERROR(INDEX('Input Barang'!$B$2:$B$1000,599),"")</f>
      </c>
      <c r="B610" s="4">
        <f>IF(A610="","",COUNTIF('Input Barang'!$B$2:$B$1000,A610))</f>
      </c>
      <c r="C610" s="4">
        <f>IF(A610="","",COUNTIF('Output Agus'!$B$2:$B$1000,A610))</f>
      </c>
      <c r="D610" s="4">
        <f>IF(A610="","",COUNTIF('Output Rexa'!$B$2:$B$1000,A610))</f>
      </c>
      <c r="E610" s="4">
        <f>IF(A610="","",B610-C610-D610)</f>
      </c>
    </row>
    <row r="611">
      <c r="A611" s="5">
        <f>IFERROR(INDEX('Input Barang'!$B$2:$B$1000,600),"")</f>
      </c>
      <c r="B611" s="4">
        <f>IF(A611="","",COUNTIF('Input Barang'!$B$2:$B$1000,A611))</f>
      </c>
      <c r="C611" s="4">
        <f>IF(A611="","",COUNTIF('Output Agus'!$B$2:$B$1000,A611))</f>
      </c>
      <c r="D611" s="4">
        <f>IF(A611="","",COUNTIF('Output Rexa'!$B$2:$B$1000,A611))</f>
      </c>
      <c r="E611" s="4">
        <f>IF(A611="","",B611-C611-D611)</f>
      </c>
    </row>
    <row r="612">
      <c r="A612" s="5">
        <f>IFERROR(INDEX('Input Barang'!$B$2:$B$1000,601),"")</f>
      </c>
      <c r="B612" s="4">
        <f>IF(A612="","",COUNTIF('Input Barang'!$B$2:$B$1000,A612))</f>
      </c>
      <c r="C612" s="4">
        <f>IF(A612="","",COUNTIF('Output Agus'!$B$2:$B$1000,A612))</f>
      </c>
      <c r="D612" s="4">
        <f>IF(A612="","",COUNTIF('Output Rexa'!$B$2:$B$1000,A612))</f>
      </c>
      <c r="E612" s="4">
        <f>IF(A612="","",B612-C612-D612)</f>
      </c>
    </row>
    <row r="613">
      <c r="A613" s="5">
        <f>IFERROR(INDEX('Input Barang'!$B$2:$B$1000,602),"")</f>
      </c>
      <c r="B613" s="4">
        <f>IF(A613="","",COUNTIF('Input Barang'!$B$2:$B$1000,A613))</f>
      </c>
      <c r="C613" s="4">
        <f>IF(A613="","",COUNTIF('Output Agus'!$B$2:$B$1000,A613))</f>
      </c>
      <c r="D613" s="4">
        <f>IF(A613="","",COUNTIF('Output Rexa'!$B$2:$B$1000,A613))</f>
      </c>
      <c r="E613" s="4">
        <f>IF(A613="","",B613-C613-D613)</f>
      </c>
    </row>
    <row r="614">
      <c r="A614" s="5">
        <f>IFERROR(INDEX('Input Barang'!$B$2:$B$1000,603),"")</f>
      </c>
      <c r="B614" s="4">
        <f>IF(A614="","",COUNTIF('Input Barang'!$B$2:$B$1000,A614))</f>
      </c>
      <c r="C614" s="4">
        <f>IF(A614="","",COUNTIF('Output Agus'!$B$2:$B$1000,A614))</f>
      </c>
      <c r="D614" s="4">
        <f>IF(A614="","",COUNTIF('Output Rexa'!$B$2:$B$1000,A614))</f>
      </c>
      <c r="E614" s="4">
        <f>IF(A614="","",B614-C614-D614)</f>
      </c>
    </row>
    <row r="615">
      <c r="A615" s="5">
        <f>IFERROR(INDEX('Input Barang'!$B$2:$B$1000,604),"")</f>
      </c>
      <c r="B615" s="4">
        <f>IF(A615="","",COUNTIF('Input Barang'!$B$2:$B$1000,A615))</f>
      </c>
      <c r="C615" s="4">
        <f>IF(A615="","",COUNTIF('Output Agus'!$B$2:$B$1000,A615))</f>
      </c>
      <c r="D615" s="4">
        <f>IF(A615="","",COUNTIF('Output Rexa'!$B$2:$B$1000,A615))</f>
      </c>
      <c r="E615" s="4">
        <f>IF(A615="","",B615-C615-D615)</f>
      </c>
    </row>
    <row r="616">
      <c r="A616" s="5">
        <f>IFERROR(INDEX('Input Barang'!$B$2:$B$1000,605),"")</f>
      </c>
      <c r="B616" s="4">
        <f>IF(A616="","",COUNTIF('Input Barang'!$B$2:$B$1000,A616))</f>
      </c>
      <c r="C616" s="4">
        <f>IF(A616="","",COUNTIF('Output Agus'!$B$2:$B$1000,A616))</f>
      </c>
      <c r="D616" s="4">
        <f>IF(A616="","",COUNTIF('Output Rexa'!$B$2:$B$1000,A616))</f>
      </c>
      <c r="E616" s="4">
        <f>IF(A616="","",B616-C616-D616)</f>
      </c>
    </row>
    <row r="617">
      <c r="A617" s="5">
        <f>IFERROR(INDEX('Input Barang'!$B$2:$B$1000,606),"")</f>
      </c>
      <c r="B617" s="4">
        <f>IF(A617="","",COUNTIF('Input Barang'!$B$2:$B$1000,A617))</f>
      </c>
      <c r="C617" s="4">
        <f>IF(A617="","",COUNTIF('Output Agus'!$B$2:$B$1000,A617))</f>
      </c>
      <c r="D617" s="4">
        <f>IF(A617="","",COUNTIF('Output Rexa'!$B$2:$B$1000,A617))</f>
      </c>
      <c r="E617" s="4">
        <f>IF(A617="","",B617-C617-D617)</f>
      </c>
    </row>
    <row r="618">
      <c r="A618" s="5">
        <f>IFERROR(INDEX('Input Barang'!$B$2:$B$1000,607),"")</f>
      </c>
      <c r="B618" s="4">
        <f>IF(A618="","",COUNTIF('Input Barang'!$B$2:$B$1000,A618))</f>
      </c>
      <c r="C618" s="4">
        <f>IF(A618="","",COUNTIF('Output Agus'!$B$2:$B$1000,A618))</f>
      </c>
      <c r="D618" s="4">
        <f>IF(A618="","",COUNTIF('Output Rexa'!$B$2:$B$1000,A618))</f>
      </c>
      <c r="E618" s="4">
        <f>IF(A618="","",B618-C618-D618)</f>
      </c>
    </row>
    <row r="619">
      <c r="A619" s="5">
        <f>IFERROR(INDEX('Input Barang'!$B$2:$B$1000,608),"")</f>
      </c>
      <c r="B619" s="4">
        <f>IF(A619="","",COUNTIF('Input Barang'!$B$2:$B$1000,A619))</f>
      </c>
      <c r="C619" s="4">
        <f>IF(A619="","",COUNTIF('Output Agus'!$B$2:$B$1000,A619))</f>
      </c>
      <c r="D619" s="4">
        <f>IF(A619="","",COUNTIF('Output Rexa'!$B$2:$B$1000,A619))</f>
      </c>
      <c r="E619" s="4">
        <f>IF(A619="","",B619-C619-D619)</f>
      </c>
    </row>
    <row r="620">
      <c r="A620" s="5">
        <f>IFERROR(INDEX('Input Barang'!$B$2:$B$1000,609),"")</f>
      </c>
      <c r="B620" s="4">
        <f>IF(A620="","",COUNTIF('Input Barang'!$B$2:$B$1000,A620))</f>
      </c>
      <c r="C620" s="4">
        <f>IF(A620="","",COUNTIF('Output Agus'!$B$2:$B$1000,A620))</f>
      </c>
      <c r="D620" s="4">
        <f>IF(A620="","",COUNTIF('Output Rexa'!$B$2:$B$1000,A620))</f>
      </c>
      <c r="E620" s="4">
        <f>IF(A620="","",B620-C620-D620)</f>
      </c>
    </row>
    <row r="621">
      <c r="A621" s="5">
        <f>IFERROR(INDEX('Input Barang'!$B$2:$B$1000,610),"")</f>
      </c>
      <c r="B621" s="4">
        <f>IF(A621="","",COUNTIF('Input Barang'!$B$2:$B$1000,A621))</f>
      </c>
      <c r="C621" s="4">
        <f>IF(A621="","",COUNTIF('Output Agus'!$B$2:$B$1000,A621))</f>
      </c>
      <c r="D621" s="4">
        <f>IF(A621="","",COUNTIF('Output Rexa'!$B$2:$B$1000,A621))</f>
      </c>
      <c r="E621" s="4">
        <f>IF(A621="","",B621-C621-D621)</f>
      </c>
    </row>
    <row r="622">
      <c r="A622" s="5">
        <f>IFERROR(INDEX('Input Barang'!$B$2:$B$1000,611),"")</f>
      </c>
      <c r="B622" s="4">
        <f>IF(A622="","",COUNTIF('Input Barang'!$B$2:$B$1000,A622))</f>
      </c>
      <c r="C622" s="4">
        <f>IF(A622="","",COUNTIF('Output Agus'!$B$2:$B$1000,A622))</f>
      </c>
      <c r="D622" s="4">
        <f>IF(A622="","",COUNTIF('Output Rexa'!$B$2:$B$1000,A622))</f>
      </c>
      <c r="E622" s="4">
        <f>IF(A622="","",B622-C622-D622)</f>
      </c>
    </row>
    <row r="623">
      <c r="A623" s="5">
        <f>IFERROR(INDEX('Input Barang'!$B$2:$B$1000,612),"")</f>
      </c>
      <c r="B623" s="4">
        <f>IF(A623="","",COUNTIF('Input Barang'!$B$2:$B$1000,A623))</f>
      </c>
      <c r="C623" s="4">
        <f>IF(A623="","",COUNTIF('Output Agus'!$B$2:$B$1000,A623))</f>
      </c>
      <c r="D623" s="4">
        <f>IF(A623="","",COUNTIF('Output Rexa'!$B$2:$B$1000,A623))</f>
      </c>
      <c r="E623" s="4">
        <f>IF(A623="","",B623-C623-D623)</f>
      </c>
    </row>
    <row r="624">
      <c r="A624" s="5">
        <f>IFERROR(INDEX('Input Barang'!$B$2:$B$1000,613),"")</f>
      </c>
      <c r="B624" s="4">
        <f>IF(A624="","",COUNTIF('Input Barang'!$B$2:$B$1000,A624))</f>
      </c>
      <c r="C624" s="4">
        <f>IF(A624="","",COUNTIF('Output Agus'!$B$2:$B$1000,A624))</f>
      </c>
      <c r="D624" s="4">
        <f>IF(A624="","",COUNTIF('Output Rexa'!$B$2:$B$1000,A624))</f>
      </c>
      <c r="E624" s="4">
        <f>IF(A624="","",B624-C624-D624)</f>
      </c>
    </row>
    <row r="625">
      <c r="A625" s="5">
        <f>IFERROR(INDEX('Input Barang'!$B$2:$B$1000,614),"")</f>
      </c>
      <c r="B625" s="4">
        <f>IF(A625="","",COUNTIF('Input Barang'!$B$2:$B$1000,A625))</f>
      </c>
      <c r="C625" s="4">
        <f>IF(A625="","",COUNTIF('Output Agus'!$B$2:$B$1000,A625))</f>
      </c>
      <c r="D625" s="4">
        <f>IF(A625="","",COUNTIF('Output Rexa'!$B$2:$B$1000,A625))</f>
      </c>
      <c r="E625" s="4">
        <f>IF(A625="","",B625-C625-D625)</f>
      </c>
    </row>
    <row r="626">
      <c r="A626" s="5">
        <f>IFERROR(INDEX('Input Barang'!$B$2:$B$1000,615),"")</f>
      </c>
      <c r="B626" s="4">
        <f>IF(A626="","",COUNTIF('Input Barang'!$B$2:$B$1000,A626))</f>
      </c>
      <c r="C626" s="4">
        <f>IF(A626="","",COUNTIF('Output Agus'!$B$2:$B$1000,A626))</f>
      </c>
      <c r="D626" s="4">
        <f>IF(A626="","",COUNTIF('Output Rexa'!$B$2:$B$1000,A626))</f>
      </c>
      <c r="E626" s="4">
        <f>IF(A626="","",B626-C626-D626)</f>
      </c>
    </row>
    <row r="627">
      <c r="A627" s="5">
        <f>IFERROR(INDEX('Input Barang'!$B$2:$B$1000,616),"")</f>
      </c>
      <c r="B627" s="4">
        <f>IF(A627="","",COUNTIF('Input Barang'!$B$2:$B$1000,A627))</f>
      </c>
      <c r="C627" s="4">
        <f>IF(A627="","",COUNTIF('Output Agus'!$B$2:$B$1000,A627))</f>
      </c>
      <c r="D627" s="4">
        <f>IF(A627="","",COUNTIF('Output Rexa'!$B$2:$B$1000,A627))</f>
      </c>
      <c r="E627" s="4">
        <f>IF(A627="","",B627-C627-D627)</f>
      </c>
    </row>
    <row r="628">
      <c r="A628" s="5">
        <f>IFERROR(INDEX('Input Barang'!$B$2:$B$1000,617),"")</f>
      </c>
      <c r="B628" s="4">
        <f>IF(A628="","",COUNTIF('Input Barang'!$B$2:$B$1000,A628))</f>
      </c>
      <c r="C628" s="4">
        <f>IF(A628="","",COUNTIF('Output Agus'!$B$2:$B$1000,A628))</f>
      </c>
      <c r="D628" s="4">
        <f>IF(A628="","",COUNTIF('Output Rexa'!$B$2:$B$1000,A628))</f>
      </c>
      <c r="E628" s="4">
        <f>IF(A628="","",B628-C628-D628)</f>
      </c>
    </row>
    <row r="629">
      <c r="A629" s="5">
        <f>IFERROR(INDEX('Input Barang'!$B$2:$B$1000,618),"")</f>
      </c>
      <c r="B629" s="4">
        <f>IF(A629="","",COUNTIF('Input Barang'!$B$2:$B$1000,A629))</f>
      </c>
      <c r="C629" s="4">
        <f>IF(A629="","",COUNTIF('Output Agus'!$B$2:$B$1000,A629))</f>
      </c>
      <c r="D629" s="4">
        <f>IF(A629="","",COUNTIF('Output Rexa'!$B$2:$B$1000,A629))</f>
      </c>
      <c r="E629" s="4">
        <f>IF(A629="","",B629-C629-D629)</f>
      </c>
    </row>
    <row r="630">
      <c r="A630" s="5">
        <f>IFERROR(INDEX('Input Barang'!$B$2:$B$1000,619),"")</f>
      </c>
      <c r="B630" s="4">
        <f>IF(A630="","",COUNTIF('Input Barang'!$B$2:$B$1000,A630))</f>
      </c>
      <c r="C630" s="4">
        <f>IF(A630="","",COUNTIF('Output Agus'!$B$2:$B$1000,A630))</f>
      </c>
      <c r="D630" s="4">
        <f>IF(A630="","",COUNTIF('Output Rexa'!$B$2:$B$1000,A630))</f>
      </c>
      <c r="E630" s="4">
        <f>IF(A630="","",B630-C630-D630)</f>
      </c>
    </row>
    <row r="631">
      <c r="A631" s="5">
        <f>IFERROR(INDEX('Input Barang'!$B$2:$B$1000,620),"")</f>
      </c>
      <c r="B631" s="4">
        <f>IF(A631="","",COUNTIF('Input Barang'!$B$2:$B$1000,A631))</f>
      </c>
      <c r="C631" s="4">
        <f>IF(A631="","",COUNTIF('Output Agus'!$B$2:$B$1000,A631))</f>
      </c>
      <c r="D631" s="4">
        <f>IF(A631="","",COUNTIF('Output Rexa'!$B$2:$B$1000,A631))</f>
      </c>
      <c r="E631" s="4">
        <f>IF(A631="","",B631-C631-D631)</f>
      </c>
    </row>
    <row r="632">
      <c r="A632" s="5">
        <f>IFERROR(INDEX('Input Barang'!$B$2:$B$1000,621),"")</f>
      </c>
      <c r="B632" s="4">
        <f>IF(A632="","",COUNTIF('Input Barang'!$B$2:$B$1000,A632))</f>
      </c>
      <c r="C632" s="4">
        <f>IF(A632="","",COUNTIF('Output Agus'!$B$2:$B$1000,A632))</f>
      </c>
      <c r="D632" s="4">
        <f>IF(A632="","",COUNTIF('Output Rexa'!$B$2:$B$1000,A632))</f>
      </c>
      <c r="E632" s="4">
        <f>IF(A632="","",B632-C632-D632)</f>
      </c>
    </row>
    <row r="633">
      <c r="A633" s="5">
        <f>IFERROR(INDEX('Input Barang'!$B$2:$B$1000,622),"")</f>
      </c>
      <c r="B633" s="4">
        <f>IF(A633="","",COUNTIF('Input Barang'!$B$2:$B$1000,A633))</f>
      </c>
      <c r="C633" s="4">
        <f>IF(A633="","",COUNTIF('Output Agus'!$B$2:$B$1000,A633))</f>
      </c>
      <c r="D633" s="4">
        <f>IF(A633="","",COUNTIF('Output Rexa'!$B$2:$B$1000,A633))</f>
      </c>
      <c r="E633" s="4">
        <f>IF(A633="","",B633-C633-D633)</f>
      </c>
    </row>
    <row r="634">
      <c r="A634" s="5">
        <f>IFERROR(INDEX('Input Barang'!$B$2:$B$1000,623),"")</f>
      </c>
      <c r="B634" s="4">
        <f>IF(A634="","",COUNTIF('Input Barang'!$B$2:$B$1000,A634))</f>
      </c>
      <c r="C634" s="4">
        <f>IF(A634="","",COUNTIF('Output Agus'!$B$2:$B$1000,A634))</f>
      </c>
      <c r="D634" s="4">
        <f>IF(A634="","",COUNTIF('Output Rexa'!$B$2:$B$1000,A634))</f>
      </c>
      <c r="E634" s="4">
        <f>IF(A634="","",B634-C634-D634)</f>
      </c>
    </row>
    <row r="635">
      <c r="A635" s="5">
        <f>IFERROR(INDEX('Input Barang'!$B$2:$B$1000,624),"")</f>
      </c>
      <c r="B635" s="4">
        <f>IF(A635="","",COUNTIF('Input Barang'!$B$2:$B$1000,A635))</f>
      </c>
      <c r="C635" s="4">
        <f>IF(A635="","",COUNTIF('Output Agus'!$B$2:$B$1000,A635))</f>
      </c>
      <c r="D635" s="4">
        <f>IF(A635="","",COUNTIF('Output Rexa'!$B$2:$B$1000,A635))</f>
      </c>
      <c r="E635" s="4">
        <f>IF(A635="","",B635-C635-D635)</f>
      </c>
    </row>
    <row r="636">
      <c r="A636" s="5">
        <f>IFERROR(INDEX('Input Barang'!$B$2:$B$1000,625),"")</f>
      </c>
      <c r="B636" s="4">
        <f>IF(A636="","",COUNTIF('Input Barang'!$B$2:$B$1000,A636))</f>
      </c>
      <c r="C636" s="4">
        <f>IF(A636="","",COUNTIF('Output Agus'!$B$2:$B$1000,A636))</f>
      </c>
      <c r="D636" s="4">
        <f>IF(A636="","",COUNTIF('Output Rexa'!$B$2:$B$1000,A636))</f>
      </c>
      <c r="E636" s="4">
        <f>IF(A636="","",B636-C636-D636)</f>
      </c>
    </row>
    <row r="637">
      <c r="A637" s="5">
        <f>IFERROR(INDEX('Input Barang'!$B$2:$B$1000,626),"")</f>
      </c>
      <c r="B637" s="4">
        <f>IF(A637="","",COUNTIF('Input Barang'!$B$2:$B$1000,A637))</f>
      </c>
      <c r="C637" s="4">
        <f>IF(A637="","",COUNTIF('Output Agus'!$B$2:$B$1000,A637))</f>
      </c>
      <c r="D637" s="4">
        <f>IF(A637="","",COUNTIF('Output Rexa'!$B$2:$B$1000,A637))</f>
      </c>
      <c r="E637" s="4">
        <f>IF(A637="","",B637-C637-D637)</f>
      </c>
    </row>
    <row r="638">
      <c r="A638" s="5">
        <f>IFERROR(INDEX('Input Barang'!$B$2:$B$1000,627),"")</f>
      </c>
      <c r="B638" s="4">
        <f>IF(A638="","",COUNTIF('Input Barang'!$B$2:$B$1000,A638))</f>
      </c>
      <c r="C638" s="4">
        <f>IF(A638="","",COUNTIF('Output Agus'!$B$2:$B$1000,A638))</f>
      </c>
      <c r="D638" s="4">
        <f>IF(A638="","",COUNTIF('Output Rexa'!$B$2:$B$1000,A638))</f>
      </c>
      <c r="E638" s="4">
        <f>IF(A638="","",B638-C638-D638)</f>
      </c>
    </row>
    <row r="639">
      <c r="A639" s="5">
        <f>IFERROR(INDEX('Input Barang'!$B$2:$B$1000,628),"")</f>
      </c>
      <c r="B639" s="4">
        <f>IF(A639="","",COUNTIF('Input Barang'!$B$2:$B$1000,A639))</f>
      </c>
      <c r="C639" s="4">
        <f>IF(A639="","",COUNTIF('Output Agus'!$B$2:$B$1000,A639))</f>
      </c>
      <c r="D639" s="4">
        <f>IF(A639="","",COUNTIF('Output Rexa'!$B$2:$B$1000,A639))</f>
      </c>
      <c r="E639" s="4">
        <f>IF(A639="","",B639-C639-D639)</f>
      </c>
    </row>
    <row r="640">
      <c r="A640" s="5">
        <f>IFERROR(INDEX('Input Barang'!$B$2:$B$1000,629),"")</f>
      </c>
      <c r="B640" s="4">
        <f>IF(A640="","",COUNTIF('Input Barang'!$B$2:$B$1000,A640))</f>
      </c>
      <c r="C640" s="4">
        <f>IF(A640="","",COUNTIF('Output Agus'!$B$2:$B$1000,A640))</f>
      </c>
      <c r="D640" s="4">
        <f>IF(A640="","",COUNTIF('Output Rexa'!$B$2:$B$1000,A640))</f>
      </c>
      <c r="E640" s="4">
        <f>IF(A640="","",B640-C640-D640)</f>
      </c>
    </row>
    <row r="641">
      <c r="A641" s="5">
        <f>IFERROR(INDEX('Input Barang'!$B$2:$B$1000,630),"")</f>
      </c>
      <c r="B641" s="4">
        <f>IF(A641="","",COUNTIF('Input Barang'!$B$2:$B$1000,A641))</f>
      </c>
      <c r="C641" s="4">
        <f>IF(A641="","",COUNTIF('Output Agus'!$B$2:$B$1000,A641))</f>
      </c>
      <c r="D641" s="4">
        <f>IF(A641="","",COUNTIF('Output Rexa'!$B$2:$B$1000,A641))</f>
      </c>
      <c r="E641" s="4">
        <f>IF(A641="","",B641-C641-D641)</f>
      </c>
    </row>
    <row r="642">
      <c r="A642" s="5">
        <f>IFERROR(INDEX('Input Barang'!$B$2:$B$1000,631),"")</f>
      </c>
      <c r="B642" s="4">
        <f>IF(A642="","",COUNTIF('Input Barang'!$B$2:$B$1000,A642))</f>
      </c>
      <c r="C642" s="4">
        <f>IF(A642="","",COUNTIF('Output Agus'!$B$2:$B$1000,A642))</f>
      </c>
      <c r="D642" s="4">
        <f>IF(A642="","",COUNTIF('Output Rexa'!$B$2:$B$1000,A642))</f>
      </c>
      <c r="E642" s="4">
        <f>IF(A642="","",B642-C642-D642)</f>
      </c>
    </row>
    <row r="643">
      <c r="A643" s="5">
        <f>IFERROR(INDEX('Input Barang'!$B$2:$B$1000,632),"")</f>
      </c>
      <c r="B643" s="4">
        <f>IF(A643="","",COUNTIF('Input Barang'!$B$2:$B$1000,A643))</f>
      </c>
      <c r="C643" s="4">
        <f>IF(A643="","",COUNTIF('Output Agus'!$B$2:$B$1000,A643))</f>
      </c>
      <c r="D643" s="4">
        <f>IF(A643="","",COUNTIF('Output Rexa'!$B$2:$B$1000,A643))</f>
      </c>
      <c r="E643" s="4">
        <f>IF(A643="","",B643-C643-D643)</f>
      </c>
    </row>
    <row r="644">
      <c r="A644" s="5">
        <f>IFERROR(INDEX('Input Barang'!$B$2:$B$1000,633),"")</f>
      </c>
      <c r="B644" s="4">
        <f>IF(A644="","",COUNTIF('Input Barang'!$B$2:$B$1000,A644))</f>
      </c>
      <c r="C644" s="4">
        <f>IF(A644="","",COUNTIF('Output Agus'!$B$2:$B$1000,A644))</f>
      </c>
      <c r="D644" s="4">
        <f>IF(A644="","",COUNTIF('Output Rexa'!$B$2:$B$1000,A644))</f>
      </c>
      <c r="E644" s="4">
        <f>IF(A644="","",B644-C644-D644)</f>
      </c>
    </row>
    <row r="645">
      <c r="A645" s="5">
        <f>IFERROR(INDEX('Input Barang'!$B$2:$B$1000,634),"")</f>
      </c>
      <c r="B645" s="4">
        <f>IF(A645="","",COUNTIF('Input Barang'!$B$2:$B$1000,A645))</f>
      </c>
      <c r="C645" s="4">
        <f>IF(A645="","",COUNTIF('Output Agus'!$B$2:$B$1000,A645))</f>
      </c>
      <c r="D645" s="4">
        <f>IF(A645="","",COUNTIF('Output Rexa'!$B$2:$B$1000,A645))</f>
      </c>
      <c r="E645" s="4">
        <f>IF(A645="","",B645-C645-D645)</f>
      </c>
    </row>
    <row r="646">
      <c r="A646" s="5">
        <f>IFERROR(INDEX('Input Barang'!$B$2:$B$1000,635),"")</f>
      </c>
      <c r="B646" s="4">
        <f>IF(A646="","",COUNTIF('Input Barang'!$B$2:$B$1000,A646))</f>
      </c>
      <c r="C646" s="4">
        <f>IF(A646="","",COUNTIF('Output Agus'!$B$2:$B$1000,A646))</f>
      </c>
      <c r="D646" s="4">
        <f>IF(A646="","",COUNTIF('Output Rexa'!$B$2:$B$1000,A646))</f>
      </c>
      <c r="E646" s="4">
        <f>IF(A646="","",B646-C646-D646)</f>
      </c>
    </row>
    <row r="647">
      <c r="A647" s="5">
        <f>IFERROR(INDEX('Input Barang'!$B$2:$B$1000,636),"")</f>
      </c>
      <c r="B647" s="4">
        <f>IF(A647="","",COUNTIF('Input Barang'!$B$2:$B$1000,A647))</f>
      </c>
      <c r="C647" s="4">
        <f>IF(A647="","",COUNTIF('Output Agus'!$B$2:$B$1000,A647))</f>
      </c>
      <c r="D647" s="4">
        <f>IF(A647="","",COUNTIF('Output Rexa'!$B$2:$B$1000,A647))</f>
      </c>
      <c r="E647" s="4">
        <f>IF(A647="","",B647-C647-D647)</f>
      </c>
    </row>
    <row r="648">
      <c r="A648" s="5">
        <f>IFERROR(INDEX('Input Barang'!$B$2:$B$1000,637),"")</f>
      </c>
      <c r="B648" s="4">
        <f>IF(A648="","",COUNTIF('Input Barang'!$B$2:$B$1000,A648))</f>
      </c>
      <c r="C648" s="4">
        <f>IF(A648="","",COUNTIF('Output Agus'!$B$2:$B$1000,A648))</f>
      </c>
      <c r="D648" s="4">
        <f>IF(A648="","",COUNTIF('Output Rexa'!$B$2:$B$1000,A648))</f>
      </c>
      <c r="E648" s="4">
        <f>IF(A648="","",B648-C648-D648)</f>
      </c>
    </row>
    <row r="649">
      <c r="A649" s="5">
        <f>IFERROR(INDEX('Input Barang'!$B$2:$B$1000,638),"")</f>
      </c>
      <c r="B649" s="4">
        <f>IF(A649="","",COUNTIF('Input Barang'!$B$2:$B$1000,A649))</f>
      </c>
      <c r="C649" s="4">
        <f>IF(A649="","",COUNTIF('Output Agus'!$B$2:$B$1000,A649))</f>
      </c>
      <c r="D649" s="4">
        <f>IF(A649="","",COUNTIF('Output Rexa'!$B$2:$B$1000,A649))</f>
      </c>
      <c r="E649" s="4">
        <f>IF(A649="","",B649-C649-D649)</f>
      </c>
    </row>
    <row r="650">
      <c r="A650" s="5">
        <f>IFERROR(INDEX('Input Barang'!$B$2:$B$1000,639),"")</f>
      </c>
      <c r="B650" s="4">
        <f>IF(A650="","",COUNTIF('Input Barang'!$B$2:$B$1000,A650))</f>
      </c>
      <c r="C650" s="4">
        <f>IF(A650="","",COUNTIF('Output Agus'!$B$2:$B$1000,A650))</f>
      </c>
      <c r="D650" s="4">
        <f>IF(A650="","",COUNTIF('Output Rexa'!$B$2:$B$1000,A650))</f>
      </c>
      <c r="E650" s="4">
        <f>IF(A650="","",B650-C650-D650)</f>
      </c>
    </row>
    <row r="651">
      <c r="A651" s="5">
        <f>IFERROR(INDEX('Input Barang'!$B$2:$B$1000,640),"")</f>
      </c>
      <c r="B651" s="4">
        <f>IF(A651="","",COUNTIF('Input Barang'!$B$2:$B$1000,A651))</f>
      </c>
      <c r="C651" s="4">
        <f>IF(A651="","",COUNTIF('Output Agus'!$B$2:$B$1000,A651))</f>
      </c>
      <c r="D651" s="4">
        <f>IF(A651="","",COUNTIF('Output Rexa'!$B$2:$B$1000,A651))</f>
      </c>
      <c r="E651" s="4">
        <f>IF(A651="","",B651-C651-D651)</f>
      </c>
    </row>
    <row r="652">
      <c r="A652" s="5">
        <f>IFERROR(INDEX('Input Barang'!$B$2:$B$1000,641),"")</f>
      </c>
      <c r="B652" s="4">
        <f>IF(A652="","",COUNTIF('Input Barang'!$B$2:$B$1000,A652))</f>
      </c>
      <c r="C652" s="4">
        <f>IF(A652="","",COUNTIF('Output Agus'!$B$2:$B$1000,A652))</f>
      </c>
      <c r="D652" s="4">
        <f>IF(A652="","",COUNTIF('Output Rexa'!$B$2:$B$1000,A652))</f>
      </c>
      <c r="E652" s="4">
        <f>IF(A652="","",B652-C652-D652)</f>
      </c>
    </row>
    <row r="653">
      <c r="A653" s="5">
        <f>IFERROR(INDEX('Input Barang'!$B$2:$B$1000,642),"")</f>
      </c>
      <c r="B653" s="4">
        <f>IF(A653="","",COUNTIF('Input Barang'!$B$2:$B$1000,A653))</f>
      </c>
      <c r="C653" s="4">
        <f>IF(A653="","",COUNTIF('Output Agus'!$B$2:$B$1000,A653))</f>
      </c>
      <c r="D653" s="4">
        <f>IF(A653="","",COUNTIF('Output Rexa'!$B$2:$B$1000,A653))</f>
      </c>
      <c r="E653" s="4">
        <f>IF(A653="","",B653-C653-D653)</f>
      </c>
    </row>
    <row r="654">
      <c r="A654" s="5">
        <f>IFERROR(INDEX('Input Barang'!$B$2:$B$1000,643),"")</f>
      </c>
      <c r="B654" s="4">
        <f>IF(A654="","",COUNTIF('Input Barang'!$B$2:$B$1000,A654))</f>
      </c>
      <c r="C654" s="4">
        <f>IF(A654="","",COUNTIF('Output Agus'!$B$2:$B$1000,A654))</f>
      </c>
      <c r="D654" s="4">
        <f>IF(A654="","",COUNTIF('Output Rexa'!$B$2:$B$1000,A654))</f>
      </c>
      <c r="E654" s="4">
        <f>IF(A654="","",B654-C654-D654)</f>
      </c>
    </row>
    <row r="655">
      <c r="A655" s="5">
        <f>IFERROR(INDEX('Input Barang'!$B$2:$B$1000,644),"")</f>
      </c>
      <c r="B655" s="4">
        <f>IF(A655="","",COUNTIF('Input Barang'!$B$2:$B$1000,A655))</f>
      </c>
      <c r="C655" s="4">
        <f>IF(A655="","",COUNTIF('Output Agus'!$B$2:$B$1000,A655))</f>
      </c>
      <c r="D655" s="4">
        <f>IF(A655="","",COUNTIF('Output Rexa'!$B$2:$B$1000,A655))</f>
      </c>
      <c r="E655" s="4">
        <f>IF(A655="","",B655-C655-D655)</f>
      </c>
    </row>
    <row r="656">
      <c r="A656" s="5">
        <f>IFERROR(INDEX('Input Barang'!$B$2:$B$1000,645),"")</f>
      </c>
      <c r="B656" s="4">
        <f>IF(A656="","",COUNTIF('Input Barang'!$B$2:$B$1000,A656))</f>
      </c>
      <c r="C656" s="4">
        <f>IF(A656="","",COUNTIF('Output Agus'!$B$2:$B$1000,A656))</f>
      </c>
      <c r="D656" s="4">
        <f>IF(A656="","",COUNTIF('Output Rexa'!$B$2:$B$1000,A656))</f>
      </c>
      <c r="E656" s="4">
        <f>IF(A656="","",B656-C656-D656)</f>
      </c>
    </row>
    <row r="657">
      <c r="A657" s="5">
        <f>IFERROR(INDEX('Input Barang'!$B$2:$B$1000,646),"")</f>
      </c>
      <c r="B657" s="4">
        <f>IF(A657="","",COUNTIF('Input Barang'!$B$2:$B$1000,A657))</f>
      </c>
      <c r="C657" s="4">
        <f>IF(A657="","",COUNTIF('Output Agus'!$B$2:$B$1000,A657))</f>
      </c>
      <c r="D657" s="4">
        <f>IF(A657="","",COUNTIF('Output Rexa'!$B$2:$B$1000,A657))</f>
      </c>
      <c r="E657" s="4">
        <f>IF(A657="","",B657-C657-D657)</f>
      </c>
    </row>
    <row r="658">
      <c r="A658" s="5">
        <f>IFERROR(INDEX('Input Barang'!$B$2:$B$1000,647),"")</f>
      </c>
      <c r="B658" s="4">
        <f>IF(A658="","",COUNTIF('Input Barang'!$B$2:$B$1000,A658))</f>
      </c>
      <c r="C658" s="4">
        <f>IF(A658="","",COUNTIF('Output Agus'!$B$2:$B$1000,A658))</f>
      </c>
      <c r="D658" s="4">
        <f>IF(A658="","",COUNTIF('Output Rexa'!$B$2:$B$1000,A658))</f>
      </c>
      <c r="E658" s="4">
        <f>IF(A658="","",B658-C658-D658)</f>
      </c>
    </row>
    <row r="659">
      <c r="A659" s="5">
        <f>IFERROR(INDEX('Input Barang'!$B$2:$B$1000,648),"")</f>
      </c>
      <c r="B659" s="4">
        <f>IF(A659="","",COUNTIF('Input Barang'!$B$2:$B$1000,A659))</f>
      </c>
      <c r="C659" s="4">
        <f>IF(A659="","",COUNTIF('Output Agus'!$B$2:$B$1000,A659))</f>
      </c>
      <c r="D659" s="4">
        <f>IF(A659="","",COUNTIF('Output Rexa'!$B$2:$B$1000,A659))</f>
      </c>
      <c r="E659" s="4">
        <f>IF(A659="","",B659-C659-D659)</f>
      </c>
    </row>
    <row r="660">
      <c r="A660" s="5">
        <f>IFERROR(INDEX('Input Barang'!$B$2:$B$1000,649),"")</f>
      </c>
      <c r="B660" s="4">
        <f>IF(A660="","",COUNTIF('Input Barang'!$B$2:$B$1000,A660))</f>
      </c>
      <c r="C660" s="4">
        <f>IF(A660="","",COUNTIF('Output Agus'!$B$2:$B$1000,A660))</f>
      </c>
      <c r="D660" s="4">
        <f>IF(A660="","",COUNTIF('Output Rexa'!$B$2:$B$1000,A660))</f>
      </c>
      <c r="E660" s="4">
        <f>IF(A660="","",B660-C660-D660)</f>
      </c>
    </row>
    <row r="661">
      <c r="A661" s="5">
        <f>IFERROR(INDEX('Input Barang'!$B$2:$B$1000,650),"")</f>
      </c>
      <c r="B661" s="4">
        <f>IF(A661="","",COUNTIF('Input Barang'!$B$2:$B$1000,A661))</f>
      </c>
      <c r="C661" s="4">
        <f>IF(A661="","",COUNTIF('Output Agus'!$B$2:$B$1000,A661))</f>
      </c>
      <c r="D661" s="4">
        <f>IF(A661="","",COUNTIF('Output Rexa'!$B$2:$B$1000,A661))</f>
      </c>
      <c r="E661" s="4">
        <f>IF(A661="","",B661-C661-D661)</f>
      </c>
    </row>
    <row r="662">
      <c r="A662" s="5">
        <f>IFERROR(INDEX('Input Barang'!$B$2:$B$1000,651),"")</f>
      </c>
      <c r="B662" s="4">
        <f>IF(A662="","",COUNTIF('Input Barang'!$B$2:$B$1000,A662))</f>
      </c>
      <c r="C662" s="4">
        <f>IF(A662="","",COUNTIF('Output Agus'!$B$2:$B$1000,A662))</f>
      </c>
      <c r="D662" s="4">
        <f>IF(A662="","",COUNTIF('Output Rexa'!$B$2:$B$1000,A662))</f>
      </c>
      <c r="E662" s="4">
        <f>IF(A662="","",B662-C662-D662)</f>
      </c>
    </row>
    <row r="663">
      <c r="A663" s="5">
        <f>IFERROR(INDEX('Input Barang'!$B$2:$B$1000,652),"")</f>
      </c>
      <c r="B663" s="4">
        <f>IF(A663="","",COUNTIF('Input Barang'!$B$2:$B$1000,A663))</f>
      </c>
      <c r="C663" s="4">
        <f>IF(A663="","",COUNTIF('Output Agus'!$B$2:$B$1000,A663))</f>
      </c>
      <c r="D663" s="4">
        <f>IF(A663="","",COUNTIF('Output Rexa'!$B$2:$B$1000,A663))</f>
      </c>
      <c r="E663" s="4">
        <f>IF(A663="","",B663-C663-D663)</f>
      </c>
    </row>
    <row r="664">
      <c r="A664" s="5">
        <f>IFERROR(INDEX('Input Barang'!$B$2:$B$1000,653),"")</f>
      </c>
      <c r="B664" s="4">
        <f>IF(A664="","",COUNTIF('Input Barang'!$B$2:$B$1000,A664))</f>
      </c>
      <c r="C664" s="4">
        <f>IF(A664="","",COUNTIF('Output Agus'!$B$2:$B$1000,A664))</f>
      </c>
      <c r="D664" s="4">
        <f>IF(A664="","",COUNTIF('Output Rexa'!$B$2:$B$1000,A664))</f>
      </c>
      <c r="E664" s="4">
        <f>IF(A664="","",B664-C664-D664)</f>
      </c>
    </row>
    <row r="665">
      <c r="A665" s="5">
        <f>IFERROR(INDEX('Input Barang'!$B$2:$B$1000,654),"")</f>
      </c>
      <c r="B665" s="4">
        <f>IF(A665="","",COUNTIF('Input Barang'!$B$2:$B$1000,A665))</f>
      </c>
      <c r="C665" s="4">
        <f>IF(A665="","",COUNTIF('Output Agus'!$B$2:$B$1000,A665))</f>
      </c>
      <c r="D665" s="4">
        <f>IF(A665="","",COUNTIF('Output Rexa'!$B$2:$B$1000,A665))</f>
      </c>
      <c r="E665" s="4">
        <f>IF(A665="","",B665-C665-D665)</f>
      </c>
    </row>
    <row r="666">
      <c r="A666" s="5">
        <f>IFERROR(INDEX('Input Barang'!$B$2:$B$1000,655),"")</f>
      </c>
      <c r="B666" s="4">
        <f>IF(A666="","",COUNTIF('Input Barang'!$B$2:$B$1000,A666))</f>
      </c>
      <c r="C666" s="4">
        <f>IF(A666="","",COUNTIF('Output Agus'!$B$2:$B$1000,A666))</f>
      </c>
      <c r="D666" s="4">
        <f>IF(A666="","",COUNTIF('Output Rexa'!$B$2:$B$1000,A666))</f>
      </c>
      <c r="E666" s="4">
        <f>IF(A666="","",B666-C666-D666)</f>
      </c>
    </row>
    <row r="667">
      <c r="A667" s="5">
        <f>IFERROR(INDEX('Input Barang'!$B$2:$B$1000,656),"")</f>
      </c>
      <c r="B667" s="4">
        <f>IF(A667="","",COUNTIF('Input Barang'!$B$2:$B$1000,A667))</f>
      </c>
      <c r="C667" s="4">
        <f>IF(A667="","",COUNTIF('Output Agus'!$B$2:$B$1000,A667))</f>
      </c>
      <c r="D667" s="4">
        <f>IF(A667="","",COUNTIF('Output Rexa'!$B$2:$B$1000,A667))</f>
      </c>
      <c r="E667" s="4">
        <f>IF(A667="","",B667-C667-D667)</f>
      </c>
    </row>
    <row r="668">
      <c r="A668" s="5">
        <f>IFERROR(INDEX('Input Barang'!$B$2:$B$1000,657),"")</f>
      </c>
      <c r="B668" s="4">
        <f>IF(A668="","",COUNTIF('Input Barang'!$B$2:$B$1000,A668))</f>
      </c>
      <c r="C668" s="4">
        <f>IF(A668="","",COUNTIF('Output Agus'!$B$2:$B$1000,A668))</f>
      </c>
      <c r="D668" s="4">
        <f>IF(A668="","",COUNTIF('Output Rexa'!$B$2:$B$1000,A668))</f>
      </c>
      <c r="E668" s="4">
        <f>IF(A668="","",B668-C668-D668)</f>
      </c>
    </row>
    <row r="669">
      <c r="A669" s="5">
        <f>IFERROR(INDEX('Input Barang'!$B$2:$B$1000,658),"")</f>
      </c>
      <c r="B669" s="4">
        <f>IF(A669="","",COUNTIF('Input Barang'!$B$2:$B$1000,A669))</f>
      </c>
      <c r="C669" s="4">
        <f>IF(A669="","",COUNTIF('Output Agus'!$B$2:$B$1000,A669))</f>
      </c>
      <c r="D669" s="4">
        <f>IF(A669="","",COUNTIF('Output Rexa'!$B$2:$B$1000,A669))</f>
      </c>
      <c r="E669" s="4">
        <f>IF(A669="","",B669-C669-D669)</f>
      </c>
    </row>
    <row r="670">
      <c r="A670" s="5">
        <f>IFERROR(INDEX('Input Barang'!$B$2:$B$1000,659),"")</f>
      </c>
      <c r="B670" s="4">
        <f>IF(A670="","",COUNTIF('Input Barang'!$B$2:$B$1000,A670))</f>
      </c>
      <c r="C670" s="4">
        <f>IF(A670="","",COUNTIF('Output Agus'!$B$2:$B$1000,A670))</f>
      </c>
      <c r="D670" s="4">
        <f>IF(A670="","",COUNTIF('Output Rexa'!$B$2:$B$1000,A670))</f>
      </c>
      <c r="E670" s="4">
        <f>IF(A670="","",B670-C670-D670)</f>
      </c>
    </row>
    <row r="671">
      <c r="A671" s="5">
        <f>IFERROR(INDEX('Input Barang'!$B$2:$B$1000,660),"")</f>
      </c>
      <c r="B671" s="4">
        <f>IF(A671="","",COUNTIF('Input Barang'!$B$2:$B$1000,A671))</f>
      </c>
      <c r="C671" s="4">
        <f>IF(A671="","",COUNTIF('Output Agus'!$B$2:$B$1000,A671))</f>
      </c>
      <c r="D671" s="4">
        <f>IF(A671="","",COUNTIF('Output Rexa'!$B$2:$B$1000,A671))</f>
      </c>
      <c r="E671" s="4">
        <f>IF(A671="","",B671-C671-D671)</f>
      </c>
    </row>
    <row r="672">
      <c r="A672" s="5">
        <f>IFERROR(INDEX('Input Barang'!$B$2:$B$1000,661),"")</f>
      </c>
      <c r="B672" s="4">
        <f>IF(A672="","",COUNTIF('Input Barang'!$B$2:$B$1000,A672))</f>
      </c>
      <c r="C672" s="4">
        <f>IF(A672="","",COUNTIF('Output Agus'!$B$2:$B$1000,A672))</f>
      </c>
      <c r="D672" s="4">
        <f>IF(A672="","",COUNTIF('Output Rexa'!$B$2:$B$1000,A672))</f>
      </c>
      <c r="E672" s="4">
        <f>IF(A672="","",B672-C672-D672)</f>
      </c>
    </row>
    <row r="673">
      <c r="A673" s="5">
        <f>IFERROR(INDEX('Input Barang'!$B$2:$B$1000,662),"")</f>
      </c>
      <c r="B673" s="4">
        <f>IF(A673="","",COUNTIF('Input Barang'!$B$2:$B$1000,A673))</f>
      </c>
      <c r="C673" s="4">
        <f>IF(A673="","",COUNTIF('Output Agus'!$B$2:$B$1000,A673))</f>
      </c>
      <c r="D673" s="4">
        <f>IF(A673="","",COUNTIF('Output Rexa'!$B$2:$B$1000,A673))</f>
      </c>
      <c r="E673" s="4">
        <f>IF(A673="","",B673-C673-D673)</f>
      </c>
    </row>
    <row r="674">
      <c r="A674" s="5">
        <f>IFERROR(INDEX('Input Barang'!$B$2:$B$1000,663),"")</f>
      </c>
      <c r="B674" s="4">
        <f>IF(A674="","",COUNTIF('Input Barang'!$B$2:$B$1000,A674))</f>
      </c>
      <c r="C674" s="4">
        <f>IF(A674="","",COUNTIF('Output Agus'!$B$2:$B$1000,A674))</f>
      </c>
      <c r="D674" s="4">
        <f>IF(A674="","",COUNTIF('Output Rexa'!$B$2:$B$1000,A674))</f>
      </c>
      <c r="E674" s="4">
        <f>IF(A674="","",B674-C674-D674)</f>
      </c>
    </row>
    <row r="675">
      <c r="A675" s="5">
        <f>IFERROR(INDEX('Input Barang'!$B$2:$B$1000,664),"")</f>
      </c>
      <c r="B675" s="4">
        <f>IF(A675="","",COUNTIF('Input Barang'!$B$2:$B$1000,A675))</f>
      </c>
      <c r="C675" s="4">
        <f>IF(A675="","",COUNTIF('Output Agus'!$B$2:$B$1000,A675))</f>
      </c>
      <c r="D675" s="4">
        <f>IF(A675="","",COUNTIF('Output Rexa'!$B$2:$B$1000,A675))</f>
      </c>
      <c r="E675" s="4">
        <f>IF(A675="","",B675-C675-D675)</f>
      </c>
    </row>
    <row r="676">
      <c r="A676" s="5">
        <f>IFERROR(INDEX('Input Barang'!$B$2:$B$1000,665),"")</f>
      </c>
      <c r="B676" s="4">
        <f>IF(A676="","",COUNTIF('Input Barang'!$B$2:$B$1000,A676))</f>
      </c>
      <c r="C676" s="4">
        <f>IF(A676="","",COUNTIF('Output Agus'!$B$2:$B$1000,A676))</f>
      </c>
      <c r="D676" s="4">
        <f>IF(A676="","",COUNTIF('Output Rexa'!$B$2:$B$1000,A676))</f>
      </c>
      <c r="E676" s="4">
        <f>IF(A676="","",B676-C676-D676)</f>
      </c>
    </row>
    <row r="677">
      <c r="A677" s="5">
        <f>IFERROR(INDEX('Input Barang'!$B$2:$B$1000,666),"")</f>
      </c>
      <c r="B677" s="4">
        <f>IF(A677="","",COUNTIF('Input Barang'!$B$2:$B$1000,A677))</f>
      </c>
      <c r="C677" s="4">
        <f>IF(A677="","",COUNTIF('Output Agus'!$B$2:$B$1000,A677))</f>
      </c>
      <c r="D677" s="4">
        <f>IF(A677="","",COUNTIF('Output Rexa'!$B$2:$B$1000,A677))</f>
      </c>
      <c r="E677" s="4">
        <f>IF(A677="","",B677-C677-D677)</f>
      </c>
    </row>
    <row r="678">
      <c r="A678" s="5">
        <f>IFERROR(INDEX('Input Barang'!$B$2:$B$1000,667),"")</f>
      </c>
      <c r="B678" s="4">
        <f>IF(A678="","",COUNTIF('Input Barang'!$B$2:$B$1000,A678))</f>
      </c>
      <c r="C678" s="4">
        <f>IF(A678="","",COUNTIF('Output Agus'!$B$2:$B$1000,A678))</f>
      </c>
      <c r="D678" s="4">
        <f>IF(A678="","",COUNTIF('Output Rexa'!$B$2:$B$1000,A678))</f>
      </c>
      <c r="E678" s="4">
        <f>IF(A678="","",B678-C678-D678)</f>
      </c>
    </row>
    <row r="679">
      <c r="A679" s="5">
        <f>IFERROR(INDEX('Input Barang'!$B$2:$B$1000,668),"")</f>
      </c>
      <c r="B679" s="4">
        <f>IF(A679="","",COUNTIF('Input Barang'!$B$2:$B$1000,A679))</f>
      </c>
      <c r="C679" s="4">
        <f>IF(A679="","",COUNTIF('Output Agus'!$B$2:$B$1000,A679))</f>
      </c>
      <c r="D679" s="4">
        <f>IF(A679="","",COUNTIF('Output Rexa'!$B$2:$B$1000,A679))</f>
      </c>
      <c r="E679" s="4">
        <f>IF(A679="","",B679-C679-D679)</f>
      </c>
    </row>
    <row r="680">
      <c r="A680" s="5">
        <f>IFERROR(INDEX('Input Barang'!$B$2:$B$1000,669),"")</f>
      </c>
      <c r="B680" s="4">
        <f>IF(A680="","",COUNTIF('Input Barang'!$B$2:$B$1000,A680))</f>
      </c>
      <c r="C680" s="4">
        <f>IF(A680="","",COUNTIF('Output Agus'!$B$2:$B$1000,A680))</f>
      </c>
      <c r="D680" s="4">
        <f>IF(A680="","",COUNTIF('Output Rexa'!$B$2:$B$1000,A680))</f>
      </c>
      <c r="E680" s="4">
        <f>IF(A680="","",B680-C680-D680)</f>
      </c>
    </row>
    <row r="681">
      <c r="A681" s="5">
        <f>IFERROR(INDEX('Input Barang'!$B$2:$B$1000,670),"")</f>
      </c>
      <c r="B681" s="4">
        <f>IF(A681="","",COUNTIF('Input Barang'!$B$2:$B$1000,A681))</f>
      </c>
      <c r="C681" s="4">
        <f>IF(A681="","",COUNTIF('Output Agus'!$B$2:$B$1000,A681))</f>
      </c>
      <c r="D681" s="4">
        <f>IF(A681="","",COUNTIF('Output Rexa'!$B$2:$B$1000,A681))</f>
      </c>
      <c r="E681" s="4">
        <f>IF(A681="","",B681-C681-D681)</f>
      </c>
    </row>
    <row r="682">
      <c r="A682" s="5">
        <f>IFERROR(INDEX('Input Barang'!$B$2:$B$1000,671),"")</f>
      </c>
      <c r="B682" s="4">
        <f>IF(A682="","",COUNTIF('Input Barang'!$B$2:$B$1000,A682))</f>
      </c>
      <c r="C682" s="4">
        <f>IF(A682="","",COUNTIF('Output Agus'!$B$2:$B$1000,A682))</f>
      </c>
      <c r="D682" s="4">
        <f>IF(A682="","",COUNTIF('Output Rexa'!$B$2:$B$1000,A682))</f>
      </c>
      <c r="E682" s="4">
        <f>IF(A682="","",B682-C682-D682)</f>
      </c>
    </row>
    <row r="683">
      <c r="A683" s="5">
        <f>IFERROR(INDEX('Input Barang'!$B$2:$B$1000,672),"")</f>
      </c>
      <c r="B683" s="4">
        <f>IF(A683="","",COUNTIF('Input Barang'!$B$2:$B$1000,A683))</f>
      </c>
      <c r="C683" s="4">
        <f>IF(A683="","",COUNTIF('Output Agus'!$B$2:$B$1000,A683))</f>
      </c>
      <c r="D683" s="4">
        <f>IF(A683="","",COUNTIF('Output Rexa'!$B$2:$B$1000,A683))</f>
      </c>
      <c r="E683" s="4">
        <f>IF(A683="","",B683-C683-D683)</f>
      </c>
    </row>
    <row r="684">
      <c r="A684" s="5">
        <f>IFERROR(INDEX('Input Barang'!$B$2:$B$1000,673),"")</f>
      </c>
      <c r="B684" s="4">
        <f>IF(A684="","",COUNTIF('Input Barang'!$B$2:$B$1000,A684))</f>
      </c>
      <c r="C684" s="4">
        <f>IF(A684="","",COUNTIF('Output Agus'!$B$2:$B$1000,A684))</f>
      </c>
      <c r="D684" s="4">
        <f>IF(A684="","",COUNTIF('Output Rexa'!$B$2:$B$1000,A684))</f>
      </c>
      <c r="E684" s="4">
        <f>IF(A684="","",B684-C684-D684)</f>
      </c>
    </row>
    <row r="685">
      <c r="A685" s="5">
        <f>IFERROR(INDEX('Input Barang'!$B$2:$B$1000,674),"")</f>
      </c>
      <c r="B685" s="4">
        <f>IF(A685="","",COUNTIF('Input Barang'!$B$2:$B$1000,A685))</f>
      </c>
      <c r="C685" s="4">
        <f>IF(A685="","",COUNTIF('Output Agus'!$B$2:$B$1000,A685))</f>
      </c>
      <c r="D685" s="4">
        <f>IF(A685="","",COUNTIF('Output Rexa'!$B$2:$B$1000,A685))</f>
      </c>
      <c r="E685" s="4">
        <f>IF(A685="","",B685-C685-D685)</f>
      </c>
    </row>
    <row r="686">
      <c r="A686" s="5">
        <f>IFERROR(INDEX('Input Barang'!$B$2:$B$1000,675),"")</f>
      </c>
      <c r="B686" s="4">
        <f>IF(A686="","",COUNTIF('Input Barang'!$B$2:$B$1000,A686))</f>
      </c>
      <c r="C686" s="4">
        <f>IF(A686="","",COUNTIF('Output Agus'!$B$2:$B$1000,A686))</f>
      </c>
      <c r="D686" s="4">
        <f>IF(A686="","",COUNTIF('Output Rexa'!$B$2:$B$1000,A686))</f>
      </c>
      <c r="E686" s="4">
        <f>IF(A686="","",B686-C686-D686)</f>
      </c>
    </row>
    <row r="687">
      <c r="A687" s="5">
        <f>IFERROR(INDEX('Input Barang'!$B$2:$B$1000,676),"")</f>
      </c>
      <c r="B687" s="4">
        <f>IF(A687="","",COUNTIF('Input Barang'!$B$2:$B$1000,A687))</f>
      </c>
      <c r="C687" s="4">
        <f>IF(A687="","",COUNTIF('Output Agus'!$B$2:$B$1000,A687))</f>
      </c>
      <c r="D687" s="4">
        <f>IF(A687="","",COUNTIF('Output Rexa'!$B$2:$B$1000,A687))</f>
      </c>
      <c r="E687" s="4">
        <f>IF(A687="","",B687-C687-D687)</f>
      </c>
    </row>
    <row r="688">
      <c r="A688" s="5">
        <f>IFERROR(INDEX('Input Barang'!$B$2:$B$1000,677),"")</f>
      </c>
      <c r="B688" s="4">
        <f>IF(A688="","",COUNTIF('Input Barang'!$B$2:$B$1000,A688))</f>
      </c>
      <c r="C688" s="4">
        <f>IF(A688="","",COUNTIF('Output Agus'!$B$2:$B$1000,A688))</f>
      </c>
      <c r="D688" s="4">
        <f>IF(A688="","",COUNTIF('Output Rexa'!$B$2:$B$1000,A688))</f>
      </c>
      <c r="E688" s="4">
        <f>IF(A688="","",B688-C688-D688)</f>
      </c>
    </row>
    <row r="689">
      <c r="A689" s="5">
        <f>IFERROR(INDEX('Input Barang'!$B$2:$B$1000,678),"")</f>
      </c>
      <c r="B689" s="4">
        <f>IF(A689="","",COUNTIF('Input Barang'!$B$2:$B$1000,A689))</f>
      </c>
      <c r="C689" s="4">
        <f>IF(A689="","",COUNTIF('Output Agus'!$B$2:$B$1000,A689))</f>
      </c>
      <c r="D689" s="4">
        <f>IF(A689="","",COUNTIF('Output Rexa'!$B$2:$B$1000,A689))</f>
      </c>
      <c r="E689" s="4">
        <f>IF(A689="","",B689-C689-D689)</f>
      </c>
    </row>
    <row r="690">
      <c r="A690" s="5">
        <f>IFERROR(INDEX('Input Barang'!$B$2:$B$1000,679),"")</f>
      </c>
      <c r="B690" s="4">
        <f>IF(A690="","",COUNTIF('Input Barang'!$B$2:$B$1000,A690))</f>
      </c>
      <c r="C690" s="4">
        <f>IF(A690="","",COUNTIF('Output Agus'!$B$2:$B$1000,A690))</f>
      </c>
      <c r="D690" s="4">
        <f>IF(A690="","",COUNTIF('Output Rexa'!$B$2:$B$1000,A690))</f>
      </c>
      <c r="E690" s="4">
        <f>IF(A690="","",B690-C690-D690)</f>
      </c>
    </row>
    <row r="691">
      <c r="A691" s="5">
        <f>IFERROR(INDEX('Input Barang'!$B$2:$B$1000,680),"")</f>
      </c>
      <c r="B691" s="4">
        <f>IF(A691="","",COUNTIF('Input Barang'!$B$2:$B$1000,A691))</f>
      </c>
      <c r="C691" s="4">
        <f>IF(A691="","",COUNTIF('Output Agus'!$B$2:$B$1000,A691))</f>
      </c>
      <c r="D691" s="4">
        <f>IF(A691="","",COUNTIF('Output Rexa'!$B$2:$B$1000,A691))</f>
      </c>
      <c r="E691" s="4">
        <f>IF(A691="","",B691-C691-D691)</f>
      </c>
    </row>
    <row r="692">
      <c r="A692" s="5">
        <f>IFERROR(INDEX('Input Barang'!$B$2:$B$1000,681),"")</f>
      </c>
      <c r="B692" s="4">
        <f>IF(A692="","",COUNTIF('Input Barang'!$B$2:$B$1000,A692))</f>
      </c>
      <c r="C692" s="4">
        <f>IF(A692="","",COUNTIF('Output Agus'!$B$2:$B$1000,A692))</f>
      </c>
      <c r="D692" s="4">
        <f>IF(A692="","",COUNTIF('Output Rexa'!$B$2:$B$1000,A692))</f>
      </c>
      <c r="E692" s="4">
        <f>IF(A692="","",B692-C692-D692)</f>
      </c>
    </row>
    <row r="693">
      <c r="A693" s="5">
        <f>IFERROR(INDEX('Input Barang'!$B$2:$B$1000,682),"")</f>
      </c>
      <c r="B693" s="4">
        <f>IF(A693="","",COUNTIF('Input Barang'!$B$2:$B$1000,A693))</f>
      </c>
      <c r="C693" s="4">
        <f>IF(A693="","",COUNTIF('Output Agus'!$B$2:$B$1000,A693))</f>
      </c>
      <c r="D693" s="4">
        <f>IF(A693="","",COUNTIF('Output Rexa'!$B$2:$B$1000,A693))</f>
      </c>
      <c r="E693" s="4">
        <f>IF(A693="","",B693-C693-D693)</f>
      </c>
    </row>
    <row r="694">
      <c r="A694" s="5">
        <f>IFERROR(INDEX('Input Barang'!$B$2:$B$1000,683),"")</f>
      </c>
      <c r="B694" s="4">
        <f>IF(A694="","",COUNTIF('Input Barang'!$B$2:$B$1000,A694))</f>
      </c>
      <c r="C694" s="4">
        <f>IF(A694="","",COUNTIF('Output Agus'!$B$2:$B$1000,A694))</f>
      </c>
      <c r="D694" s="4">
        <f>IF(A694="","",COUNTIF('Output Rexa'!$B$2:$B$1000,A694))</f>
      </c>
      <c r="E694" s="4">
        <f>IF(A694="","",B694-C694-D694)</f>
      </c>
    </row>
    <row r="695">
      <c r="A695" s="5">
        <f>IFERROR(INDEX('Input Barang'!$B$2:$B$1000,684),"")</f>
      </c>
      <c r="B695" s="4">
        <f>IF(A695="","",COUNTIF('Input Barang'!$B$2:$B$1000,A695))</f>
      </c>
      <c r="C695" s="4">
        <f>IF(A695="","",COUNTIF('Output Agus'!$B$2:$B$1000,A695))</f>
      </c>
      <c r="D695" s="4">
        <f>IF(A695="","",COUNTIF('Output Rexa'!$B$2:$B$1000,A695))</f>
      </c>
      <c r="E695" s="4">
        <f>IF(A695="","",B695-C695-D695)</f>
      </c>
    </row>
    <row r="696">
      <c r="A696" s="5">
        <f>IFERROR(INDEX('Input Barang'!$B$2:$B$1000,685),"")</f>
      </c>
      <c r="B696" s="4">
        <f>IF(A696="","",COUNTIF('Input Barang'!$B$2:$B$1000,A696))</f>
      </c>
      <c r="C696" s="4">
        <f>IF(A696="","",COUNTIF('Output Agus'!$B$2:$B$1000,A696))</f>
      </c>
      <c r="D696" s="4">
        <f>IF(A696="","",COUNTIF('Output Rexa'!$B$2:$B$1000,A696))</f>
      </c>
      <c r="E696" s="4">
        <f>IF(A696="","",B696-C696-D696)</f>
      </c>
    </row>
    <row r="697">
      <c r="A697" s="5">
        <f>IFERROR(INDEX('Input Barang'!$B$2:$B$1000,686),"")</f>
      </c>
      <c r="B697" s="4">
        <f>IF(A697="","",COUNTIF('Input Barang'!$B$2:$B$1000,A697))</f>
      </c>
      <c r="C697" s="4">
        <f>IF(A697="","",COUNTIF('Output Agus'!$B$2:$B$1000,A697))</f>
      </c>
      <c r="D697" s="4">
        <f>IF(A697="","",COUNTIF('Output Rexa'!$B$2:$B$1000,A697))</f>
      </c>
      <c r="E697" s="4">
        <f>IF(A697="","",B697-C697-D697)</f>
      </c>
    </row>
    <row r="698">
      <c r="A698" s="5">
        <f>IFERROR(INDEX('Input Barang'!$B$2:$B$1000,687),"")</f>
      </c>
      <c r="B698" s="4">
        <f>IF(A698="","",COUNTIF('Input Barang'!$B$2:$B$1000,A698))</f>
      </c>
      <c r="C698" s="4">
        <f>IF(A698="","",COUNTIF('Output Agus'!$B$2:$B$1000,A698))</f>
      </c>
      <c r="D698" s="4">
        <f>IF(A698="","",COUNTIF('Output Rexa'!$B$2:$B$1000,A698))</f>
      </c>
      <c r="E698" s="4">
        <f>IF(A698="","",B698-C698-D698)</f>
      </c>
    </row>
    <row r="699">
      <c r="A699" s="5">
        <f>IFERROR(INDEX('Input Barang'!$B$2:$B$1000,688),"")</f>
      </c>
      <c r="B699" s="4">
        <f>IF(A699="","",COUNTIF('Input Barang'!$B$2:$B$1000,A699))</f>
      </c>
      <c r="C699" s="4">
        <f>IF(A699="","",COUNTIF('Output Agus'!$B$2:$B$1000,A699))</f>
      </c>
      <c r="D699" s="4">
        <f>IF(A699="","",COUNTIF('Output Rexa'!$B$2:$B$1000,A699))</f>
      </c>
      <c r="E699" s="4">
        <f>IF(A699="","",B699-C699-D699)</f>
      </c>
    </row>
    <row r="700">
      <c r="A700" s="5">
        <f>IFERROR(INDEX('Input Barang'!$B$2:$B$1000,689),"")</f>
      </c>
      <c r="B700" s="4">
        <f>IF(A700="","",COUNTIF('Input Barang'!$B$2:$B$1000,A700))</f>
      </c>
      <c r="C700" s="4">
        <f>IF(A700="","",COUNTIF('Output Agus'!$B$2:$B$1000,A700))</f>
      </c>
      <c r="D700" s="4">
        <f>IF(A700="","",COUNTIF('Output Rexa'!$B$2:$B$1000,A700))</f>
      </c>
      <c r="E700" s="4">
        <f>IF(A700="","",B700-C700-D700)</f>
      </c>
    </row>
    <row r="701">
      <c r="A701" s="5">
        <f>IFERROR(INDEX('Input Barang'!$B$2:$B$1000,690),"")</f>
      </c>
      <c r="B701" s="4">
        <f>IF(A701="","",COUNTIF('Input Barang'!$B$2:$B$1000,A701))</f>
      </c>
      <c r="C701" s="4">
        <f>IF(A701="","",COUNTIF('Output Agus'!$B$2:$B$1000,A701))</f>
      </c>
      <c r="D701" s="4">
        <f>IF(A701="","",COUNTIF('Output Rexa'!$B$2:$B$1000,A701))</f>
      </c>
      <c r="E701" s="4">
        <f>IF(A701="","",B701-C701-D701)</f>
      </c>
    </row>
    <row r="702">
      <c r="A702" s="5">
        <f>IFERROR(INDEX('Input Barang'!$B$2:$B$1000,691),"")</f>
      </c>
      <c r="B702" s="4">
        <f>IF(A702="","",COUNTIF('Input Barang'!$B$2:$B$1000,A702))</f>
      </c>
      <c r="C702" s="4">
        <f>IF(A702="","",COUNTIF('Output Agus'!$B$2:$B$1000,A702))</f>
      </c>
      <c r="D702" s="4">
        <f>IF(A702="","",COUNTIF('Output Rexa'!$B$2:$B$1000,A702))</f>
      </c>
      <c r="E702" s="4">
        <f>IF(A702="","",B702-C702-D702)</f>
      </c>
    </row>
    <row r="703">
      <c r="A703" s="5">
        <f>IFERROR(INDEX('Input Barang'!$B$2:$B$1000,692),"")</f>
      </c>
      <c r="B703" s="4">
        <f>IF(A703="","",COUNTIF('Input Barang'!$B$2:$B$1000,A703))</f>
      </c>
      <c r="C703" s="4">
        <f>IF(A703="","",COUNTIF('Output Agus'!$B$2:$B$1000,A703))</f>
      </c>
      <c r="D703" s="4">
        <f>IF(A703="","",COUNTIF('Output Rexa'!$B$2:$B$1000,A703))</f>
      </c>
      <c r="E703" s="4">
        <f>IF(A703="","",B703-C703-D703)</f>
      </c>
    </row>
    <row r="704">
      <c r="A704" s="5">
        <f>IFERROR(INDEX('Input Barang'!$B$2:$B$1000,693),"")</f>
      </c>
      <c r="B704" s="4">
        <f>IF(A704="","",COUNTIF('Input Barang'!$B$2:$B$1000,A704))</f>
      </c>
      <c r="C704" s="4">
        <f>IF(A704="","",COUNTIF('Output Agus'!$B$2:$B$1000,A704))</f>
      </c>
      <c r="D704" s="4">
        <f>IF(A704="","",COUNTIF('Output Rexa'!$B$2:$B$1000,A704))</f>
      </c>
      <c r="E704" s="4">
        <f>IF(A704="","",B704-C704-D704)</f>
      </c>
    </row>
    <row r="705">
      <c r="A705" s="5">
        <f>IFERROR(INDEX('Input Barang'!$B$2:$B$1000,694),"")</f>
      </c>
      <c r="B705" s="4">
        <f>IF(A705="","",COUNTIF('Input Barang'!$B$2:$B$1000,A705))</f>
      </c>
      <c r="C705" s="4">
        <f>IF(A705="","",COUNTIF('Output Agus'!$B$2:$B$1000,A705))</f>
      </c>
      <c r="D705" s="4">
        <f>IF(A705="","",COUNTIF('Output Rexa'!$B$2:$B$1000,A705))</f>
      </c>
      <c r="E705" s="4">
        <f>IF(A705="","",B705-C705-D705)</f>
      </c>
    </row>
    <row r="706">
      <c r="A706" s="5">
        <f>IFERROR(INDEX('Input Barang'!$B$2:$B$1000,695),"")</f>
      </c>
      <c r="B706" s="4">
        <f>IF(A706="","",COUNTIF('Input Barang'!$B$2:$B$1000,A706))</f>
      </c>
      <c r="C706" s="4">
        <f>IF(A706="","",COUNTIF('Output Agus'!$B$2:$B$1000,A706))</f>
      </c>
      <c r="D706" s="4">
        <f>IF(A706="","",COUNTIF('Output Rexa'!$B$2:$B$1000,A706))</f>
      </c>
      <c r="E706" s="4">
        <f>IF(A706="","",B706-C706-D706)</f>
      </c>
    </row>
    <row r="707">
      <c r="A707" s="5">
        <f>IFERROR(INDEX('Input Barang'!$B$2:$B$1000,696),"")</f>
      </c>
      <c r="B707" s="4">
        <f>IF(A707="","",COUNTIF('Input Barang'!$B$2:$B$1000,A707))</f>
      </c>
      <c r="C707" s="4">
        <f>IF(A707="","",COUNTIF('Output Agus'!$B$2:$B$1000,A707))</f>
      </c>
      <c r="D707" s="4">
        <f>IF(A707="","",COUNTIF('Output Rexa'!$B$2:$B$1000,A707))</f>
      </c>
      <c r="E707" s="4">
        <f>IF(A707="","",B707-C707-D707)</f>
      </c>
    </row>
    <row r="708">
      <c r="A708" s="5">
        <f>IFERROR(INDEX('Input Barang'!$B$2:$B$1000,697),"")</f>
      </c>
      <c r="B708" s="4">
        <f>IF(A708="","",COUNTIF('Input Barang'!$B$2:$B$1000,A708))</f>
      </c>
      <c r="C708" s="4">
        <f>IF(A708="","",COUNTIF('Output Agus'!$B$2:$B$1000,A708))</f>
      </c>
      <c r="D708" s="4">
        <f>IF(A708="","",COUNTIF('Output Rexa'!$B$2:$B$1000,A708))</f>
      </c>
      <c r="E708" s="4">
        <f>IF(A708="","",B708-C708-D708)</f>
      </c>
    </row>
    <row r="709">
      <c r="A709" s="5">
        <f>IFERROR(INDEX('Input Barang'!$B$2:$B$1000,698),"")</f>
      </c>
      <c r="B709" s="4">
        <f>IF(A709="","",COUNTIF('Input Barang'!$B$2:$B$1000,A709))</f>
      </c>
      <c r="C709" s="4">
        <f>IF(A709="","",COUNTIF('Output Agus'!$B$2:$B$1000,A709))</f>
      </c>
      <c r="D709" s="4">
        <f>IF(A709="","",COUNTIF('Output Rexa'!$B$2:$B$1000,A709))</f>
      </c>
      <c r="E709" s="4">
        <f>IF(A709="","",B709-C709-D709)</f>
      </c>
    </row>
    <row r="710">
      <c r="A710" s="5">
        <f>IFERROR(INDEX('Input Barang'!$B$2:$B$1000,699),"")</f>
      </c>
      <c r="B710" s="4">
        <f>IF(A710="","",COUNTIF('Input Barang'!$B$2:$B$1000,A710))</f>
      </c>
      <c r="C710" s="4">
        <f>IF(A710="","",COUNTIF('Output Agus'!$B$2:$B$1000,A710))</f>
      </c>
      <c r="D710" s="4">
        <f>IF(A710="","",COUNTIF('Output Rexa'!$B$2:$B$1000,A710))</f>
      </c>
      <c r="E710" s="4">
        <f>IF(A710="","",B710-C710-D710)</f>
      </c>
    </row>
    <row r="711">
      <c r="A711" s="5">
        <f>IFERROR(INDEX('Input Barang'!$B$2:$B$1000,700),"")</f>
      </c>
      <c r="B711" s="4">
        <f>IF(A711="","",COUNTIF('Input Barang'!$B$2:$B$1000,A711))</f>
      </c>
      <c r="C711" s="4">
        <f>IF(A711="","",COUNTIF('Output Agus'!$B$2:$B$1000,A711))</f>
      </c>
      <c r="D711" s="4">
        <f>IF(A711="","",COUNTIF('Output Rexa'!$B$2:$B$1000,A711))</f>
      </c>
      <c r="E711" s="4">
        <f>IF(A711="","",B711-C711-D711)</f>
      </c>
    </row>
    <row r="712">
      <c r="A712" s="5">
        <f>IFERROR(INDEX('Input Barang'!$B$2:$B$1000,701),"")</f>
      </c>
      <c r="B712" s="4">
        <f>IF(A712="","",COUNTIF('Input Barang'!$B$2:$B$1000,A712))</f>
      </c>
      <c r="C712" s="4">
        <f>IF(A712="","",COUNTIF('Output Agus'!$B$2:$B$1000,A712))</f>
      </c>
      <c r="D712" s="4">
        <f>IF(A712="","",COUNTIF('Output Rexa'!$B$2:$B$1000,A712))</f>
      </c>
      <c r="E712" s="4">
        <f>IF(A712="","",B712-C712-D712)</f>
      </c>
    </row>
    <row r="713">
      <c r="A713" s="5">
        <f>IFERROR(INDEX('Input Barang'!$B$2:$B$1000,702),"")</f>
      </c>
      <c r="B713" s="4">
        <f>IF(A713="","",COUNTIF('Input Barang'!$B$2:$B$1000,A713))</f>
      </c>
      <c r="C713" s="4">
        <f>IF(A713="","",COUNTIF('Output Agus'!$B$2:$B$1000,A713))</f>
      </c>
      <c r="D713" s="4">
        <f>IF(A713="","",COUNTIF('Output Rexa'!$B$2:$B$1000,A713))</f>
      </c>
      <c r="E713" s="4">
        <f>IF(A713="","",B713-C713-D713)</f>
      </c>
    </row>
    <row r="714">
      <c r="A714" s="5">
        <f>IFERROR(INDEX('Input Barang'!$B$2:$B$1000,703),"")</f>
      </c>
      <c r="B714" s="4">
        <f>IF(A714="","",COUNTIF('Input Barang'!$B$2:$B$1000,A714))</f>
      </c>
      <c r="C714" s="4">
        <f>IF(A714="","",COUNTIF('Output Agus'!$B$2:$B$1000,A714))</f>
      </c>
      <c r="D714" s="4">
        <f>IF(A714="","",COUNTIF('Output Rexa'!$B$2:$B$1000,A714))</f>
      </c>
      <c r="E714" s="4">
        <f>IF(A714="","",B714-C714-D714)</f>
      </c>
    </row>
    <row r="715">
      <c r="A715" s="5">
        <f>IFERROR(INDEX('Input Barang'!$B$2:$B$1000,704),"")</f>
      </c>
      <c r="B715" s="4">
        <f>IF(A715="","",COUNTIF('Input Barang'!$B$2:$B$1000,A715))</f>
      </c>
      <c r="C715" s="4">
        <f>IF(A715="","",COUNTIF('Output Agus'!$B$2:$B$1000,A715))</f>
      </c>
      <c r="D715" s="4">
        <f>IF(A715="","",COUNTIF('Output Rexa'!$B$2:$B$1000,A715))</f>
      </c>
      <c r="E715" s="4">
        <f>IF(A715="","",B715-C715-D715)</f>
      </c>
    </row>
    <row r="716">
      <c r="A716" s="5">
        <f>IFERROR(INDEX('Input Barang'!$B$2:$B$1000,705),"")</f>
      </c>
      <c r="B716" s="4">
        <f>IF(A716="","",COUNTIF('Input Barang'!$B$2:$B$1000,A716))</f>
      </c>
      <c r="C716" s="4">
        <f>IF(A716="","",COUNTIF('Output Agus'!$B$2:$B$1000,A716))</f>
      </c>
      <c r="D716" s="4">
        <f>IF(A716="","",COUNTIF('Output Rexa'!$B$2:$B$1000,A716))</f>
      </c>
      <c r="E716" s="4">
        <f>IF(A716="","",B716-C716-D716)</f>
      </c>
    </row>
    <row r="717">
      <c r="A717" s="5">
        <f>IFERROR(INDEX('Input Barang'!$B$2:$B$1000,706),"")</f>
      </c>
      <c r="B717" s="4">
        <f>IF(A717="","",COUNTIF('Input Barang'!$B$2:$B$1000,A717))</f>
      </c>
      <c r="C717" s="4">
        <f>IF(A717="","",COUNTIF('Output Agus'!$B$2:$B$1000,A717))</f>
      </c>
      <c r="D717" s="4">
        <f>IF(A717="","",COUNTIF('Output Rexa'!$B$2:$B$1000,A717))</f>
      </c>
      <c r="E717" s="4">
        <f>IF(A717="","",B717-C717-D717)</f>
      </c>
    </row>
    <row r="718">
      <c r="A718" s="5">
        <f>IFERROR(INDEX('Input Barang'!$B$2:$B$1000,707),"")</f>
      </c>
      <c r="B718" s="4">
        <f>IF(A718="","",COUNTIF('Input Barang'!$B$2:$B$1000,A718))</f>
      </c>
      <c r="C718" s="4">
        <f>IF(A718="","",COUNTIF('Output Agus'!$B$2:$B$1000,A718))</f>
      </c>
      <c r="D718" s="4">
        <f>IF(A718="","",COUNTIF('Output Rexa'!$B$2:$B$1000,A718))</f>
      </c>
      <c r="E718" s="4">
        <f>IF(A718="","",B718-C718-D718)</f>
      </c>
    </row>
    <row r="719">
      <c r="A719" s="5">
        <f>IFERROR(INDEX('Input Barang'!$B$2:$B$1000,708),"")</f>
      </c>
      <c r="B719" s="4">
        <f>IF(A719="","",COUNTIF('Input Barang'!$B$2:$B$1000,A719))</f>
      </c>
      <c r="C719" s="4">
        <f>IF(A719="","",COUNTIF('Output Agus'!$B$2:$B$1000,A719))</f>
      </c>
      <c r="D719" s="4">
        <f>IF(A719="","",COUNTIF('Output Rexa'!$B$2:$B$1000,A719))</f>
      </c>
      <c r="E719" s="4">
        <f>IF(A719="","",B719-C719-D719)</f>
      </c>
    </row>
    <row r="720">
      <c r="A720" s="5">
        <f>IFERROR(INDEX('Input Barang'!$B$2:$B$1000,709),"")</f>
      </c>
      <c r="B720" s="4">
        <f>IF(A720="","",COUNTIF('Input Barang'!$B$2:$B$1000,A720))</f>
      </c>
      <c r="C720" s="4">
        <f>IF(A720="","",COUNTIF('Output Agus'!$B$2:$B$1000,A720))</f>
      </c>
      <c r="D720" s="4">
        <f>IF(A720="","",COUNTIF('Output Rexa'!$B$2:$B$1000,A720))</f>
      </c>
      <c r="E720" s="4">
        <f>IF(A720="","",B720-C720-D720)</f>
      </c>
    </row>
    <row r="721">
      <c r="A721" s="5">
        <f>IFERROR(INDEX('Input Barang'!$B$2:$B$1000,710),"")</f>
      </c>
      <c r="B721" s="4">
        <f>IF(A721="","",COUNTIF('Input Barang'!$B$2:$B$1000,A721))</f>
      </c>
      <c r="C721" s="4">
        <f>IF(A721="","",COUNTIF('Output Agus'!$B$2:$B$1000,A721))</f>
      </c>
      <c r="D721" s="4">
        <f>IF(A721="","",COUNTIF('Output Rexa'!$B$2:$B$1000,A721))</f>
      </c>
      <c r="E721" s="4">
        <f>IF(A721="","",B721-C721-D721)</f>
      </c>
    </row>
    <row r="722">
      <c r="A722" s="5">
        <f>IFERROR(INDEX('Input Barang'!$B$2:$B$1000,711),"")</f>
      </c>
      <c r="B722" s="4">
        <f>IF(A722="","",COUNTIF('Input Barang'!$B$2:$B$1000,A722))</f>
      </c>
      <c r="C722" s="4">
        <f>IF(A722="","",COUNTIF('Output Agus'!$B$2:$B$1000,A722))</f>
      </c>
      <c r="D722" s="4">
        <f>IF(A722="","",COUNTIF('Output Rexa'!$B$2:$B$1000,A722))</f>
      </c>
      <c r="E722" s="4">
        <f>IF(A722="","",B722-C722-D722)</f>
      </c>
    </row>
    <row r="723">
      <c r="A723" s="5">
        <f>IFERROR(INDEX('Input Barang'!$B$2:$B$1000,712),"")</f>
      </c>
      <c r="B723" s="4">
        <f>IF(A723="","",COUNTIF('Input Barang'!$B$2:$B$1000,A723))</f>
      </c>
      <c r="C723" s="4">
        <f>IF(A723="","",COUNTIF('Output Agus'!$B$2:$B$1000,A723))</f>
      </c>
      <c r="D723" s="4">
        <f>IF(A723="","",COUNTIF('Output Rexa'!$B$2:$B$1000,A723))</f>
      </c>
      <c r="E723" s="4">
        <f>IF(A723="","",B723-C723-D723)</f>
      </c>
    </row>
    <row r="724">
      <c r="A724" s="5">
        <f>IFERROR(INDEX('Input Barang'!$B$2:$B$1000,713),"")</f>
      </c>
      <c r="B724" s="4">
        <f>IF(A724="","",COUNTIF('Input Barang'!$B$2:$B$1000,A724))</f>
      </c>
      <c r="C724" s="4">
        <f>IF(A724="","",COUNTIF('Output Agus'!$B$2:$B$1000,A724))</f>
      </c>
      <c r="D724" s="4">
        <f>IF(A724="","",COUNTIF('Output Rexa'!$B$2:$B$1000,A724))</f>
      </c>
      <c r="E724" s="4">
        <f>IF(A724="","",B724-C724-D724)</f>
      </c>
    </row>
    <row r="725">
      <c r="A725" s="5">
        <f>IFERROR(INDEX('Input Barang'!$B$2:$B$1000,714),"")</f>
      </c>
      <c r="B725" s="4">
        <f>IF(A725="","",COUNTIF('Input Barang'!$B$2:$B$1000,A725))</f>
      </c>
      <c r="C725" s="4">
        <f>IF(A725="","",COUNTIF('Output Agus'!$B$2:$B$1000,A725))</f>
      </c>
      <c r="D725" s="4">
        <f>IF(A725="","",COUNTIF('Output Rexa'!$B$2:$B$1000,A725))</f>
      </c>
      <c r="E725" s="4">
        <f>IF(A725="","",B725-C725-D725)</f>
      </c>
    </row>
    <row r="726">
      <c r="A726" s="5">
        <f>IFERROR(INDEX('Input Barang'!$B$2:$B$1000,715),"")</f>
      </c>
      <c r="B726" s="4">
        <f>IF(A726="","",COUNTIF('Input Barang'!$B$2:$B$1000,A726))</f>
      </c>
      <c r="C726" s="4">
        <f>IF(A726="","",COUNTIF('Output Agus'!$B$2:$B$1000,A726))</f>
      </c>
      <c r="D726" s="4">
        <f>IF(A726="","",COUNTIF('Output Rexa'!$B$2:$B$1000,A726))</f>
      </c>
      <c r="E726" s="4">
        <f>IF(A726="","",B726-C726-D726)</f>
      </c>
    </row>
    <row r="727">
      <c r="A727" s="5">
        <f>IFERROR(INDEX('Input Barang'!$B$2:$B$1000,716),"")</f>
      </c>
      <c r="B727" s="4">
        <f>IF(A727="","",COUNTIF('Input Barang'!$B$2:$B$1000,A727))</f>
      </c>
      <c r="C727" s="4">
        <f>IF(A727="","",COUNTIF('Output Agus'!$B$2:$B$1000,A727))</f>
      </c>
      <c r="D727" s="4">
        <f>IF(A727="","",COUNTIF('Output Rexa'!$B$2:$B$1000,A727))</f>
      </c>
      <c r="E727" s="4">
        <f>IF(A727="","",B727-C727-D727)</f>
      </c>
    </row>
    <row r="728">
      <c r="A728" s="5">
        <f>IFERROR(INDEX('Input Barang'!$B$2:$B$1000,717),"")</f>
      </c>
      <c r="B728" s="4">
        <f>IF(A728="","",COUNTIF('Input Barang'!$B$2:$B$1000,A728))</f>
      </c>
      <c r="C728" s="4">
        <f>IF(A728="","",COUNTIF('Output Agus'!$B$2:$B$1000,A728))</f>
      </c>
      <c r="D728" s="4">
        <f>IF(A728="","",COUNTIF('Output Rexa'!$B$2:$B$1000,A728))</f>
      </c>
      <c r="E728" s="4">
        <f>IF(A728="","",B728-C728-D728)</f>
      </c>
    </row>
    <row r="729">
      <c r="A729" s="5">
        <f>IFERROR(INDEX('Input Barang'!$B$2:$B$1000,718),"")</f>
      </c>
      <c r="B729" s="4">
        <f>IF(A729="","",COUNTIF('Input Barang'!$B$2:$B$1000,A729))</f>
      </c>
      <c r="C729" s="4">
        <f>IF(A729="","",COUNTIF('Output Agus'!$B$2:$B$1000,A729))</f>
      </c>
      <c r="D729" s="4">
        <f>IF(A729="","",COUNTIF('Output Rexa'!$B$2:$B$1000,A729))</f>
      </c>
      <c r="E729" s="4">
        <f>IF(A729="","",B729-C729-D729)</f>
      </c>
    </row>
    <row r="730">
      <c r="A730" s="5">
        <f>IFERROR(INDEX('Input Barang'!$B$2:$B$1000,719),"")</f>
      </c>
      <c r="B730" s="4">
        <f>IF(A730="","",COUNTIF('Input Barang'!$B$2:$B$1000,A730))</f>
      </c>
      <c r="C730" s="4">
        <f>IF(A730="","",COUNTIF('Output Agus'!$B$2:$B$1000,A730))</f>
      </c>
      <c r="D730" s="4">
        <f>IF(A730="","",COUNTIF('Output Rexa'!$B$2:$B$1000,A730))</f>
      </c>
      <c r="E730" s="4">
        <f>IF(A730="","",B730-C730-D730)</f>
      </c>
    </row>
    <row r="731">
      <c r="A731" s="5">
        <f>IFERROR(INDEX('Input Barang'!$B$2:$B$1000,720),"")</f>
      </c>
      <c r="B731" s="4">
        <f>IF(A731="","",COUNTIF('Input Barang'!$B$2:$B$1000,A731))</f>
      </c>
      <c r="C731" s="4">
        <f>IF(A731="","",COUNTIF('Output Agus'!$B$2:$B$1000,A731))</f>
      </c>
      <c r="D731" s="4">
        <f>IF(A731="","",COUNTIF('Output Rexa'!$B$2:$B$1000,A731))</f>
      </c>
      <c r="E731" s="4">
        <f>IF(A731="","",B731-C731-D731)</f>
      </c>
    </row>
    <row r="732">
      <c r="A732" s="5">
        <f>IFERROR(INDEX('Input Barang'!$B$2:$B$1000,721),"")</f>
      </c>
      <c r="B732" s="4">
        <f>IF(A732="","",COUNTIF('Input Barang'!$B$2:$B$1000,A732))</f>
      </c>
      <c r="C732" s="4">
        <f>IF(A732="","",COUNTIF('Output Agus'!$B$2:$B$1000,A732))</f>
      </c>
      <c r="D732" s="4">
        <f>IF(A732="","",COUNTIF('Output Rexa'!$B$2:$B$1000,A732))</f>
      </c>
      <c r="E732" s="4">
        <f>IF(A732="","",B732-C732-D732)</f>
      </c>
    </row>
    <row r="733">
      <c r="A733" s="5">
        <f>IFERROR(INDEX('Input Barang'!$B$2:$B$1000,722),"")</f>
      </c>
      <c r="B733" s="4">
        <f>IF(A733="","",COUNTIF('Input Barang'!$B$2:$B$1000,A733))</f>
      </c>
      <c r="C733" s="4">
        <f>IF(A733="","",COUNTIF('Output Agus'!$B$2:$B$1000,A733))</f>
      </c>
      <c r="D733" s="4">
        <f>IF(A733="","",COUNTIF('Output Rexa'!$B$2:$B$1000,A733))</f>
      </c>
      <c r="E733" s="4">
        <f>IF(A733="","",B733-C733-D733)</f>
      </c>
    </row>
    <row r="734">
      <c r="A734" s="5">
        <f>IFERROR(INDEX('Input Barang'!$B$2:$B$1000,723),"")</f>
      </c>
      <c r="B734" s="4">
        <f>IF(A734="","",COUNTIF('Input Barang'!$B$2:$B$1000,A734))</f>
      </c>
      <c r="C734" s="4">
        <f>IF(A734="","",COUNTIF('Output Agus'!$B$2:$B$1000,A734))</f>
      </c>
      <c r="D734" s="4">
        <f>IF(A734="","",COUNTIF('Output Rexa'!$B$2:$B$1000,A734))</f>
      </c>
      <c r="E734" s="4">
        <f>IF(A734="","",B734-C734-D734)</f>
      </c>
    </row>
    <row r="735">
      <c r="A735" s="5">
        <f>IFERROR(INDEX('Input Barang'!$B$2:$B$1000,724),"")</f>
      </c>
      <c r="B735" s="4">
        <f>IF(A735="","",COUNTIF('Input Barang'!$B$2:$B$1000,A735))</f>
      </c>
      <c r="C735" s="4">
        <f>IF(A735="","",COUNTIF('Output Agus'!$B$2:$B$1000,A735))</f>
      </c>
      <c r="D735" s="4">
        <f>IF(A735="","",COUNTIF('Output Rexa'!$B$2:$B$1000,A735))</f>
      </c>
      <c r="E735" s="4">
        <f>IF(A735="","",B735-C735-D735)</f>
      </c>
    </row>
    <row r="736">
      <c r="A736" s="5">
        <f>IFERROR(INDEX('Input Barang'!$B$2:$B$1000,725),"")</f>
      </c>
      <c r="B736" s="4">
        <f>IF(A736="","",COUNTIF('Input Barang'!$B$2:$B$1000,A736))</f>
      </c>
      <c r="C736" s="4">
        <f>IF(A736="","",COUNTIF('Output Agus'!$B$2:$B$1000,A736))</f>
      </c>
      <c r="D736" s="4">
        <f>IF(A736="","",COUNTIF('Output Rexa'!$B$2:$B$1000,A736))</f>
      </c>
      <c r="E736" s="4">
        <f>IF(A736="","",B736-C736-D736)</f>
      </c>
    </row>
    <row r="737">
      <c r="A737" s="5">
        <f>IFERROR(INDEX('Input Barang'!$B$2:$B$1000,726),"")</f>
      </c>
      <c r="B737" s="4">
        <f>IF(A737="","",COUNTIF('Input Barang'!$B$2:$B$1000,A737))</f>
      </c>
      <c r="C737" s="4">
        <f>IF(A737="","",COUNTIF('Output Agus'!$B$2:$B$1000,A737))</f>
      </c>
      <c r="D737" s="4">
        <f>IF(A737="","",COUNTIF('Output Rexa'!$B$2:$B$1000,A737))</f>
      </c>
      <c r="E737" s="4">
        <f>IF(A737="","",B737-C737-D737)</f>
      </c>
    </row>
    <row r="738">
      <c r="A738" s="5">
        <f>IFERROR(INDEX('Input Barang'!$B$2:$B$1000,727),"")</f>
      </c>
      <c r="B738" s="4">
        <f>IF(A738="","",COUNTIF('Input Barang'!$B$2:$B$1000,A738))</f>
      </c>
      <c r="C738" s="4">
        <f>IF(A738="","",COUNTIF('Output Agus'!$B$2:$B$1000,A738))</f>
      </c>
      <c r="D738" s="4">
        <f>IF(A738="","",COUNTIF('Output Rexa'!$B$2:$B$1000,A738))</f>
      </c>
      <c r="E738" s="4">
        <f>IF(A738="","",B738-C738-D738)</f>
      </c>
    </row>
    <row r="739">
      <c r="A739" s="5">
        <f>IFERROR(INDEX('Input Barang'!$B$2:$B$1000,728),"")</f>
      </c>
      <c r="B739" s="4">
        <f>IF(A739="","",COUNTIF('Input Barang'!$B$2:$B$1000,A739))</f>
      </c>
      <c r="C739" s="4">
        <f>IF(A739="","",COUNTIF('Output Agus'!$B$2:$B$1000,A739))</f>
      </c>
      <c r="D739" s="4">
        <f>IF(A739="","",COUNTIF('Output Rexa'!$B$2:$B$1000,A739))</f>
      </c>
      <c r="E739" s="4">
        <f>IF(A739="","",B739-C739-D739)</f>
      </c>
    </row>
    <row r="740">
      <c r="A740" s="5">
        <f>IFERROR(INDEX('Input Barang'!$B$2:$B$1000,729),"")</f>
      </c>
      <c r="B740" s="4">
        <f>IF(A740="","",COUNTIF('Input Barang'!$B$2:$B$1000,A740))</f>
      </c>
      <c r="C740" s="4">
        <f>IF(A740="","",COUNTIF('Output Agus'!$B$2:$B$1000,A740))</f>
      </c>
      <c r="D740" s="4">
        <f>IF(A740="","",COUNTIF('Output Rexa'!$B$2:$B$1000,A740))</f>
      </c>
      <c r="E740" s="4">
        <f>IF(A740="","",B740-C740-D740)</f>
      </c>
    </row>
    <row r="741">
      <c r="A741" s="5">
        <f>IFERROR(INDEX('Input Barang'!$B$2:$B$1000,730),"")</f>
      </c>
      <c r="B741" s="4">
        <f>IF(A741="","",COUNTIF('Input Barang'!$B$2:$B$1000,A741))</f>
      </c>
      <c r="C741" s="4">
        <f>IF(A741="","",COUNTIF('Output Agus'!$B$2:$B$1000,A741))</f>
      </c>
      <c r="D741" s="4">
        <f>IF(A741="","",COUNTIF('Output Rexa'!$B$2:$B$1000,A741))</f>
      </c>
      <c r="E741" s="4">
        <f>IF(A741="","",B741-C741-D741)</f>
      </c>
    </row>
    <row r="742">
      <c r="A742" s="5">
        <f>IFERROR(INDEX('Input Barang'!$B$2:$B$1000,731),"")</f>
      </c>
      <c r="B742" s="4">
        <f>IF(A742="","",COUNTIF('Input Barang'!$B$2:$B$1000,A742))</f>
      </c>
      <c r="C742" s="4">
        <f>IF(A742="","",COUNTIF('Output Agus'!$B$2:$B$1000,A742))</f>
      </c>
      <c r="D742" s="4">
        <f>IF(A742="","",COUNTIF('Output Rexa'!$B$2:$B$1000,A742))</f>
      </c>
      <c r="E742" s="4">
        <f>IF(A742="","",B742-C742-D742)</f>
      </c>
    </row>
    <row r="743">
      <c r="A743" s="5">
        <f>IFERROR(INDEX('Input Barang'!$B$2:$B$1000,732),"")</f>
      </c>
      <c r="B743" s="4">
        <f>IF(A743="","",COUNTIF('Input Barang'!$B$2:$B$1000,A743))</f>
      </c>
      <c r="C743" s="4">
        <f>IF(A743="","",COUNTIF('Output Agus'!$B$2:$B$1000,A743))</f>
      </c>
      <c r="D743" s="4">
        <f>IF(A743="","",COUNTIF('Output Rexa'!$B$2:$B$1000,A743))</f>
      </c>
      <c r="E743" s="4">
        <f>IF(A743="","",B743-C743-D743)</f>
      </c>
    </row>
    <row r="744">
      <c r="A744" s="5">
        <f>IFERROR(INDEX('Input Barang'!$B$2:$B$1000,733),"")</f>
      </c>
      <c r="B744" s="4">
        <f>IF(A744="","",COUNTIF('Input Barang'!$B$2:$B$1000,A744))</f>
      </c>
      <c r="C744" s="4">
        <f>IF(A744="","",COUNTIF('Output Agus'!$B$2:$B$1000,A744))</f>
      </c>
      <c r="D744" s="4">
        <f>IF(A744="","",COUNTIF('Output Rexa'!$B$2:$B$1000,A744))</f>
      </c>
      <c r="E744" s="4">
        <f>IF(A744="","",B744-C744-D744)</f>
      </c>
    </row>
    <row r="745">
      <c r="A745" s="5">
        <f>IFERROR(INDEX('Input Barang'!$B$2:$B$1000,734),"")</f>
      </c>
      <c r="B745" s="4">
        <f>IF(A745="","",COUNTIF('Input Barang'!$B$2:$B$1000,A745))</f>
      </c>
      <c r="C745" s="4">
        <f>IF(A745="","",COUNTIF('Output Agus'!$B$2:$B$1000,A745))</f>
      </c>
      <c r="D745" s="4">
        <f>IF(A745="","",COUNTIF('Output Rexa'!$B$2:$B$1000,A745))</f>
      </c>
      <c r="E745" s="4">
        <f>IF(A745="","",B745-C745-D745)</f>
      </c>
    </row>
    <row r="746">
      <c r="A746" s="5">
        <f>IFERROR(INDEX('Input Barang'!$B$2:$B$1000,735),"")</f>
      </c>
      <c r="B746" s="4">
        <f>IF(A746="","",COUNTIF('Input Barang'!$B$2:$B$1000,A746))</f>
      </c>
      <c r="C746" s="4">
        <f>IF(A746="","",COUNTIF('Output Agus'!$B$2:$B$1000,A746))</f>
      </c>
      <c r="D746" s="4">
        <f>IF(A746="","",COUNTIF('Output Rexa'!$B$2:$B$1000,A746))</f>
      </c>
      <c r="E746" s="4">
        <f>IF(A746="","",B746-C746-D746)</f>
      </c>
    </row>
    <row r="747">
      <c r="A747" s="5">
        <f>IFERROR(INDEX('Input Barang'!$B$2:$B$1000,736),"")</f>
      </c>
      <c r="B747" s="4">
        <f>IF(A747="","",COUNTIF('Input Barang'!$B$2:$B$1000,A747))</f>
      </c>
      <c r="C747" s="4">
        <f>IF(A747="","",COUNTIF('Output Agus'!$B$2:$B$1000,A747))</f>
      </c>
      <c r="D747" s="4">
        <f>IF(A747="","",COUNTIF('Output Rexa'!$B$2:$B$1000,A747))</f>
      </c>
      <c r="E747" s="4">
        <f>IF(A747="","",B747-C747-D747)</f>
      </c>
    </row>
    <row r="748">
      <c r="A748" s="5">
        <f>IFERROR(INDEX('Input Barang'!$B$2:$B$1000,737),"")</f>
      </c>
      <c r="B748" s="4">
        <f>IF(A748="","",COUNTIF('Input Barang'!$B$2:$B$1000,A748))</f>
      </c>
      <c r="C748" s="4">
        <f>IF(A748="","",COUNTIF('Output Agus'!$B$2:$B$1000,A748))</f>
      </c>
      <c r="D748" s="4">
        <f>IF(A748="","",COUNTIF('Output Rexa'!$B$2:$B$1000,A748))</f>
      </c>
      <c r="E748" s="4">
        <f>IF(A748="","",B748-C748-D748)</f>
      </c>
    </row>
    <row r="749">
      <c r="A749" s="5">
        <f>IFERROR(INDEX('Input Barang'!$B$2:$B$1000,738),"")</f>
      </c>
      <c r="B749" s="4">
        <f>IF(A749="","",COUNTIF('Input Barang'!$B$2:$B$1000,A749))</f>
      </c>
      <c r="C749" s="4">
        <f>IF(A749="","",COUNTIF('Output Agus'!$B$2:$B$1000,A749))</f>
      </c>
      <c r="D749" s="4">
        <f>IF(A749="","",COUNTIF('Output Rexa'!$B$2:$B$1000,A749))</f>
      </c>
      <c r="E749" s="4">
        <f>IF(A749="","",B749-C749-D749)</f>
      </c>
    </row>
    <row r="750">
      <c r="A750" s="5">
        <f>IFERROR(INDEX('Input Barang'!$B$2:$B$1000,739),"")</f>
      </c>
      <c r="B750" s="4">
        <f>IF(A750="","",COUNTIF('Input Barang'!$B$2:$B$1000,A750))</f>
      </c>
      <c r="C750" s="4">
        <f>IF(A750="","",COUNTIF('Output Agus'!$B$2:$B$1000,A750))</f>
      </c>
      <c r="D750" s="4">
        <f>IF(A750="","",COUNTIF('Output Rexa'!$B$2:$B$1000,A750))</f>
      </c>
      <c r="E750" s="4">
        <f>IF(A750="","",B750-C750-D750)</f>
      </c>
    </row>
    <row r="751">
      <c r="A751" s="5">
        <f>IFERROR(INDEX('Input Barang'!$B$2:$B$1000,740),"")</f>
      </c>
      <c r="B751" s="4">
        <f>IF(A751="","",COUNTIF('Input Barang'!$B$2:$B$1000,A751))</f>
      </c>
      <c r="C751" s="4">
        <f>IF(A751="","",COUNTIF('Output Agus'!$B$2:$B$1000,A751))</f>
      </c>
      <c r="D751" s="4">
        <f>IF(A751="","",COUNTIF('Output Rexa'!$B$2:$B$1000,A751))</f>
      </c>
      <c r="E751" s="4">
        <f>IF(A751="","",B751-C751-D751)</f>
      </c>
    </row>
    <row r="752">
      <c r="A752" s="5">
        <f>IFERROR(INDEX('Input Barang'!$B$2:$B$1000,741),"")</f>
      </c>
      <c r="B752" s="4">
        <f>IF(A752="","",COUNTIF('Input Barang'!$B$2:$B$1000,A752))</f>
      </c>
      <c r="C752" s="4">
        <f>IF(A752="","",COUNTIF('Output Agus'!$B$2:$B$1000,A752))</f>
      </c>
      <c r="D752" s="4">
        <f>IF(A752="","",COUNTIF('Output Rexa'!$B$2:$B$1000,A752))</f>
      </c>
      <c r="E752" s="4">
        <f>IF(A752="","",B752-C752-D752)</f>
      </c>
    </row>
    <row r="753">
      <c r="A753" s="5">
        <f>IFERROR(INDEX('Input Barang'!$B$2:$B$1000,742),"")</f>
      </c>
      <c r="B753" s="4">
        <f>IF(A753="","",COUNTIF('Input Barang'!$B$2:$B$1000,A753))</f>
      </c>
      <c r="C753" s="4">
        <f>IF(A753="","",COUNTIF('Output Agus'!$B$2:$B$1000,A753))</f>
      </c>
      <c r="D753" s="4">
        <f>IF(A753="","",COUNTIF('Output Rexa'!$B$2:$B$1000,A753))</f>
      </c>
      <c r="E753" s="4">
        <f>IF(A753="","",B753-C753-D753)</f>
      </c>
    </row>
    <row r="754">
      <c r="A754" s="5">
        <f>IFERROR(INDEX('Input Barang'!$B$2:$B$1000,743),"")</f>
      </c>
      <c r="B754" s="4">
        <f>IF(A754="","",COUNTIF('Input Barang'!$B$2:$B$1000,A754))</f>
      </c>
      <c r="C754" s="4">
        <f>IF(A754="","",COUNTIF('Output Agus'!$B$2:$B$1000,A754))</f>
      </c>
      <c r="D754" s="4">
        <f>IF(A754="","",COUNTIF('Output Rexa'!$B$2:$B$1000,A754))</f>
      </c>
      <c r="E754" s="4">
        <f>IF(A754="","",B754-C754-D754)</f>
      </c>
    </row>
    <row r="755">
      <c r="A755" s="5">
        <f>IFERROR(INDEX('Input Barang'!$B$2:$B$1000,744),"")</f>
      </c>
      <c r="B755" s="4">
        <f>IF(A755="","",COUNTIF('Input Barang'!$B$2:$B$1000,A755))</f>
      </c>
      <c r="C755" s="4">
        <f>IF(A755="","",COUNTIF('Output Agus'!$B$2:$B$1000,A755))</f>
      </c>
      <c r="D755" s="4">
        <f>IF(A755="","",COUNTIF('Output Rexa'!$B$2:$B$1000,A755))</f>
      </c>
      <c r="E755" s="4">
        <f>IF(A755="","",B755-C755-D755)</f>
      </c>
    </row>
    <row r="756">
      <c r="A756" s="5">
        <f>IFERROR(INDEX('Input Barang'!$B$2:$B$1000,745),"")</f>
      </c>
      <c r="B756" s="4">
        <f>IF(A756="","",COUNTIF('Input Barang'!$B$2:$B$1000,A756))</f>
      </c>
      <c r="C756" s="4">
        <f>IF(A756="","",COUNTIF('Output Agus'!$B$2:$B$1000,A756))</f>
      </c>
      <c r="D756" s="4">
        <f>IF(A756="","",COUNTIF('Output Rexa'!$B$2:$B$1000,A756))</f>
      </c>
      <c r="E756" s="4">
        <f>IF(A756="","",B756-C756-D756)</f>
      </c>
    </row>
    <row r="757">
      <c r="A757" s="5">
        <f>IFERROR(INDEX('Input Barang'!$B$2:$B$1000,746),"")</f>
      </c>
      <c r="B757" s="4">
        <f>IF(A757="","",COUNTIF('Input Barang'!$B$2:$B$1000,A757))</f>
      </c>
      <c r="C757" s="4">
        <f>IF(A757="","",COUNTIF('Output Agus'!$B$2:$B$1000,A757))</f>
      </c>
      <c r="D757" s="4">
        <f>IF(A757="","",COUNTIF('Output Rexa'!$B$2:$B$1000,A757))</f>
      </c>
      <c r="E757" s="4">
        <f>IF(A757="","",B757-C757-D757)</f>
      </c>
    </row>
    <row r="758">
      <c r="A758" s="5">
        <f>IFERROR(INDEX('Input Barang'!$B$2:$B$1000,747),"")</f>
      </c>
      <c r="B758" s="4">
        <f>IF(A758="","",COUNTIF('Input Barang'!$B$2:$B$1000,A758))</f>
      </c>
      <c r="C758" s="4">
        <f>IF(A758="","",COUNTIF('Output Agus'!$B$2:$B$1000,A758))</f>
      </c>
      <c r="D758" s="4">
        <f>IF(A758="","",COUNTIF('Output Rexa'!$B$2:$B$1000,A758))</f>
      </c>
      <c r="E758" s="4">
        <f>IF(A758="","",B758-C758-D758)</f>
      </c>
    </row>
    <row r="759">
      <c r="A759" s="5">
        <f>IFERROR(INDEX('Input Barang'!$B$2:$B$1000,748),"")</f>
      </c>
      <c r="B759" s="4">
        <f>IF(A759="","",COUNTIF('Input Barang'!$B$2:$B$1000,A759))</f>
      </c>
      <c r="C759" s="4">
        <f>IF(A759="","",COUNTIF('Output Agus'!$B$2:$B$1000,A759))</f>
      </c>
      <c r="D759" s="4">
        <f>IF(A759="","",COUNTIF('Output Rexa'!$B$2:$B$1000,A759))</f>
      </c>
      <c r="E759" s="4">
        <f>IF(A759="","",B759-C759-D759)</f>
      </c>
    </row>
    <row r="760">
      <c r="A760" s="5">
        <f>IFERROR(INDEX('Input Barang'!$B$2:$B$1000,749),"")</f>
      </c>
      <c r="B760" s="4">
        <f>IF(A760="","",COUNTIF('Input Barang'!$B$2:$B$1000,A760))</f>
      </c>
      <c r="C760" s="4">
        <f>IF(A760="","",COUNTIF('Output Agus'!$B$2:$B$1000,A760))</f>
      </c>
      <c r="D760" s="4">
        <f>IF(A760="","",COUNTIF('Output Rexa'!$B$2:$B$1000,A760))</f>
      </c>
      <c r="E760" s="4">
        <f>IF(A760="","",B760-C760-D760)</f>
      </c>
    </row>
    <row r="761">
      <c r="A761" s="5">
        <f>IFERROR(INDEX('Input Barang'!$B$2:$B$1000,750),"")</f>
      </c>
      <c r="B761" s="4">
        <f>IF(A761="","",COUNTIF('Input Barang'!$B$2:$B$1000,A761))</f>
      </c>
      <c r="C761" s="4">
        <f>IF(A761="","",COUNTIF('Output Agus'!$B$2:$B$1000,A761))</f>
      </c>
      <c r="D761" s="4">
        <f>IF(A761="","",COUNTIF('Output Rexa'!$B$2:$B$1000,A761))</f>
      </c>
      <c r="E761" s="4">
        <f>IF(A761="","",B761-C761-D761)</f>
      </c>
    </row>
    <row r="762">
      <c r="A762" s="5">
        <f>IFERROR(INDEX('Input Barang'!$B$2:$B$1000,751),"")</f>
      </c>
      <c r="B762" s="4">
        <f>IF(A762="","",COUNTIF('Input Barang'!$B$2:$B$1000,A762))</f>
      </c>
      <c r="C762" s="4">
        <f>IF(A762="","",COUNTIF('Output Agus'!$B$2:$B$1000,A762))</f>
      </c>
      <c r="D762" s="4">
        <f>IF(A762="","",COUNTIF('Output Rexa'!$B$2:$B$1000,A762))</f>
      </c>
      <c r="E762" s="4">
        <f>IF(A762="","",B762-C762-D762)</f>
      </c>
    </row>
    <row r="763">
      <c r="A763" s="5">
        <f>IFERROR(INDEX('Input Barang'!$B$2:$B$1000,752),"")</f>
      </c>
      <c r="B763" s="4">
        <f>IF(A763="","",COUNTIF('Input Barang'!$B$2:$B$1000,A763))</f>
      </c>
      <c r="C763" s="4">
        <f>IF(A763="","",COUNTIF('Output Agus'!$B$2:$B$1000,A763))</f>
      </c>
      <c r="D763" s="4">
        <f>IF(A763="","",COUNTIF('Output Rexa'!$B$2:$B$1000,A763))</f>
      </c>
      <c r="E763" s="4">
        <f>IF(A763="","",B763-C763-D763)</f>
      </c>
    </row>
    <row r="764">
      <c r="A764" s="5">
        <f>IFERROR(INDEX('Input Barang'!$B$2:$B$1000,753),"")</f>
      </c>
      <c r="B764" s="4">
        <f>IF(A764="","",COUNTIF('Input Barang'!$B$2:$B$1000,A764))</f>
      </c>
      <c r="C764" s="4">
        <f>IF(A764="","",COUNTIF('Output Agus'!$B$2:$B$1000,A764))</f>
      </c>
      <c r="D764" s="4">
        <f>IF(A764="","",COUNTIF('Output Rexa'!$B$2:$B$1000,A764))</f>
      </c>
      <c r="E764" s="4">
        <f>IF(A764="","",B764-C764-D764)</f>
      </c>
    </row>
    <row r="765">
      <c r="A765" s="5">
        <f>IFERROR(INDEX('Input Barang'!$B$2:$B$1000,754),"")</f>
      </c>
      <c r="B765" s="4">
        <f>IF(A765="","",COUNTIF('Input Barang'!$B$2:$B$1000,A765))</f>
      </c>
      <c r="C765" s="4">
        <f>IF(A765="","",COUNTIF('Output Agus'!$B$2:$B$1000,A765))</f>
      </c>
      <c r="D765" s="4">
        <f>IF(A765="","",COUNTIF('Output Rexa'!$B$2:$B$1000,A765))</f>
      </c>
      <c r="E765" s="4">
        <f>IF(A765="","",B765-C765-D765)</f>
      </c>
    </row>
    <row r="766">
      <c r="A766" s="5">
        <f>IFERROR(INDEX('Input Barang'!$B$2:$B$1000,755),"")</f>
      </c>
      <c r="B766" s="4">
        <f>IF(A766="","",COUNTIF('Input Barang'!$B$2:$B$1000,A766))</f>
      </c>
      <c r="C766" s="4">
        <f>IF(A766="","",COUNTIF('Output Agus'!$B$2:$B$1000,A766))</f>
      </c>
      <c r="D766" s="4">
        <f>IF(A766="","",COUNTIF('Output Rexa'!$B$2:$B$1000,A766))</f>
      </c>
      <c r="E766" s="4">
        <f>IF(A766="","",B766-C766-D766)</f>
      </c>
    </row>
    <row r="767">
      <c r="A767" s="5">
        <f>IFERROR(INDEX('Input Barang'!$B$2:$B$1000,756),"")</f>
      </c>
      <c r="B767" s="4">
        <f>IF(A767="","",COUNTIF('Input Barang'!$B$2:$B$1000,A767))</f>
      </c>
      <c r="C767" s="4">
        <f>IF(A767="","",COUNTIF('Output Agus'!$B$2:$B$1000,A767))</f>
      </c>
      <c r="D767" s="4">
        <f>IF(A767="","",COUNTIF('Output Rexa'!$B$2:$B$1000,A767))</f>
      </c>
      <c r="E767" s="4">
        <f>IF(A767="","",B767-C767-D767)</f>
      </c>
    </row>
    <row r="768">
      <c r="A768" s="5">
        <f>IFERROR(INDEX('Input Barang'!$B$2:$B$1000,757),"")</f>
      </c>
      <c r="B768" s="4">
        <f>IF(A768="","",COUNTIF('Input Barang'!$B$2:$B$1000,A768))</f>
      </c>
      <c r="C768" s="4">
        <f>IF(A768="","",COUNTIF('Output Agus'!$B$2:$B$1000,A768))</f>
      </c>
      <c r="D768" s="4">
        <f>IF(A768="","",COUNTIF('Output Rexa'!$B$2:$B$1000,A768))</f>
      </c>
      <c r="E768" s="4">
        <f>IF(A768="","",B768-C768-D768)</f>
      </c>
    </row>
    <row r="769">
      <c r="A769" s="5">
        <f>IFERROR(INDEX('Input Barang'!$B$2:$B$1000,758),"")</f>
      </c>
      <c r="B769" s="4">
        <f>IF(A769="","",COUNTIF('Input Barang'!$B$2:$B$1000,A769))</f>
      </c>
      <c r="C769" s="4">
        <f>IF(A769="","",COUNTIF('Output Agus'!$B$2:$B$1000,A769))</f>
      </c>
      <c r="D769" s="4">
        <f>IF(A769="","",COUNTIF('Output Rexa'!$B$2:$B$1000,A769))</f>
      </c>
      <c r="E769" s="4">
        <f>IF(A769="","",B769-C769-D769)</f>
      </c>
    </row>
    <row r="770">
      <c r="A770" s="5">
        <f>IFERROR(INDEX('Input Barang'!$B$2:$B$1000,759),"")</f>
      </c>
      <c r="B770" s="4">
        <f>IF(A770="","",COUNTIF('Input Barang'!$B$2:$B$1000,A770))</f>
      </c>
      <c r="C770" s="4">
        <f>IF(A770="","",COUNTIF('Output Agus'!$B$2:$B$1000,A770))</f>
      </c>
      <c r="D770" s="4">
        <f>IF(A770="","",COUNTIF('Output Rexa'!$B$2:$B$1000,A770))</f>
      </c>
      <c r="E770" s="4">
        <f>IF(A770="","",B770-C770-D770)</f>
      </c>
    </row>
    <row r="771">
      <c r="A771" s="5">
        <f>IFERROR(INDEX('Input Barang'!$B$2:$B$1000,760),"")</f>
      </c>
      <c r="B771" s="4">
        <f>IF(A771="","",COUNTIF('Input Barang'!$B$2:$B$1000,A771))</f>
      </c>
      <c r="C771" s="4">
        <f>IF(A771="","",COUNTIF('Output Agus'!$B$2:$B$1000,A771))</f>
      </c>
      <c r="D771" s="4">
        <f>IF(A771="","",COUNTIF('Output Rexa'!$B$2:$B$1000,A771))</f>
      </c>
      <c r="E771" s="4">
        <f>IF(A771="","",B771-C771-D771)</f>
      </c>
    </row>
    <row r="772">
      <c r="A772" s="5">
        <f>IFERROR(INDEX('Input Barang'!$B$2:$B$1000,761),"")</f>
      </c>
      <c r="B772" s="4">
        <f>IF(A772="","",COUNTIF('Input Barang'!$B$2:$B$1000,A772))</f>
      </c>
      <c r="C772" s="4">
        <f>IF(A772="","",COUNTIF('Output Agus'!$B$2:$B$1000,A772))</f>
      </c>
      <c r="D772" s="4">
        <f>IF(A772="","",COUNTIF('Output Rexa'!$B$2:$B$1000,A772))</f>
      </c>
      <c r="E772" s="4">
        <f>IF(A772="","",B772-C772-D772)</f>
      </c>
    </row>
    <row r="773">
      <c r="A773" s="5">
        <f>IFERROR(INDEX('Input Barang'!$B$2:$B$1000,762),"")</f>
      </c>
      <c r="B773" s="4">
        <f>IF(A773="","",COUNTIF('Input Barang'!$B$2:$B$1000,A773))</f>
      </c>
      <c r="C773" s="4">
        <f>IF(A773="","",COUNTIF('Output Agus'!$B$2:$B$1000,A773))</f>
      </c>
      <c r="D773" s="4">
        <f>IF(A773="","",COUNTIF('Output Rexa'!$B$2:$B$1000,A773))</f>
      </c>
      <c r="E773" s="4">
        <f>IF(A773="","",B773-C773-D773)</f>
      </c>
    </row>
    <row r="774">
      <c r="A774" s="5">
        <f>IFERROR(INDEX('Input Barang'!$B$2:$B$1000,763),"")</f>
      </c>
      <c r="B774" s="4">
        <f>IF(A774="","",COUNTIF('Input Barang'!$B$2:$B$1000,A774))</f>
      </c>
      <c r="C774" s="4">
        <f>IF(A774="","",COUNTIF('Output Agus'!$B$2:$B$1000,A774))</f>
      </c>
      <c r="D774" s="4">
        <f>IF(A774="","",COUNTIF('Output Rexa'!$B$2:$B$1000,A774))</f>
      </c>
      <c r="E774" s="4">
        <f>IF(A774="","",B774-C774-D774)</f>
      </c>
    </row>
    <row r="775">
      <c r="A775" s="5">
        <f>IFERROR(INDEX('Input Barang'!$B$2:$B$1000,764),"")</f>
      </c>
      <c r="B775" s="4">
        <f>IF(A775="","",COUNTIF('Input Barang'!$B$2:$B$1000,A775))</f>
      </c>
      <c r="C775" s="4">
        <f>IF(A775="","",COUNTIF('Output Agus'!$B$2:$B$1000,A775))</f>
      </c>
      <c r="D775" s="4">
        <f>IF(A775="","",COUNTIF('Output Rexa'!$B$2:$B$1000,A775))</f>
      </c>
      <c r="E775" s="4">
        <f>IF(A775="","",B775-C775-D775)</f>
      </c>
    </row>
    <row r="776">
      <c r="A776" s="5">
        <f>IFERROR(INDEX('Input Barang'!$B$2:$B$1000,765),"")</f>
      </c>
      <c r="B776" s="4">
        <f>IF(A776="","",COUNTIF('Input Barang'!$B$2:$B$1000,A776))</f>
      </c>
      <c r="C776" s="4">
        <f>IF(A776="","",COUNTIF('Output Agus'!$B$2:$B$1000,A776))</f>
      </c>
      <c r="D776" s="4">
        <f>IF(A776="","",COUNTIF('Output Rexa'!$B$2:$B$1000,A776))</f>
      </c>
      <c r="E776" s="4">
        <f>IF(A776="","",B776-C776-D776)</f>
      </c>
    </row>
    <row r="777">
      <c r="A777" s="5">
        <f>IFERROR(INDEX('Input Barang'!$B$2:$B$1000,766),"")</f>
      </c>
      <c r="B777" s="4">
        <f>IF(A777="","",COUNTIF('Input Barang'!$B$2:$B$1000,A777))</f>
      </c>
      <c r="C777" s="4">
        <f>IF(A777="","",COUNTIF('Output Agus'!$B$2:$B$1000,A777))</f>
      </c>
      <c r="D777" s="4">
        <f>IF(A777="","",COUNTIF('Output Rexa'!$B$2:$B$1000,A777))</f>
      </c>
      <c r="E777" s="4">
        <f>IF(A777="","",B777-C777-D777)</f>
      </c>
    </row>
    <row r="778">
      <c r="A778" s="5">
        <f>IFERROR(INDEX('Input Barang'!$B$2:$B$1000,767),"")</f>
      </c>
      <c r="B778" s="4">
        <f>IF(A778="","",COUNTIF('Input Barang'!$B$2:$B$1000,A778))</f>
      </c>
      <c r="C778" s="4">
        <f>IF(A778="","",COUNTIF('Output Agus'!$B$2:$B$1000,A778))</f>
      </c>
      <c r="D778" s="4">
        <f>IF(A778="","",COUNTIF('Output Rexa'!$B$2:$B$1000,A778))</f>
      </c>
      <c r="E778" s="4">
        <f>IF(A778="","",B778-C778-D778)</f>
      </c>
    </row>
    <row r="779">
      <c r="A779" s="5">
        <f>IFERROR(INDEX('Input Barang'!$B$2:$B$1000,768),"")</f>
      </c>
      <c r="B779" s="4">
        <f>IF(A779="","",COUNTIF('Input Barang'!$B$2:$B$1000,A779))</f>
      </c>
      <c r="C779" s="4">
        <f>IF(A779="","",COUNTIF('Output Agus'!$B$2:$B$1000,A779))</f>
      </c>
      <c r="D779" s="4">
        <f>IF(A779="","",COUNTIF('Output Rexa'!$B$2:$B$1000,A779))</f>
      </c>
      <c r="E779" s="4">
        <f>IF(A779="","",B779-C779-D779)</f>
      </c>
    </row>
    <row r="780">
      <c r="A780" s="5">
        <f>IFERROR(INDEX('Input Barang'!$B$2:$B$1000,769),"")</f>
      </c>
      <c r="B780" s="4">
        <f>IF(A780="","",COUNTIF('Input Barang'!$B$2:$B$1000,A780))</f>
      </c>
      <c r="C780" s="4">
        <f>IF(A780="","",COUNTIF('Output Agus'!$B$2:$B$1000,A780))</f>
      </c>
      <c r="D780" s="4">
        <f>IF(A780="","",COUNTIF('Output Rexa'!$B$2:$B$1000,A780))</f>
      </c>
      <c r="E780" s="4">
        <f>IF(A780="","",B780-C780-D780)</f>
      </c>
    </row>
    <row r="781">
      <c r="A781" s="5">
        <f>IFERROR(INDEX('Input Barang'!$B$2:$B$1000,770),"")</f>
      </c>
      <c r="B781" s="4">
        <f>IF(A781="","",COUNTIF('Input Barang'!$B$2:$B$1000,A781))</f>
      </c>
      <c r="C781" s="4">
        <f>IF(A781="","",COUNTIF('Output Agus'!$B$2:$B$1000,A781))</f>
      </c>
      <c r="D781" s="4">
        <f>IF(A781="","",COUNTIF('Output Rexa'!$B$2:$B$1000,A781))</f>
      </c>
      <c r="E781" s="4">
        <f>IF(A781="","",B781-C781-D781)</f>
      </c>
    </row>
    <row r="782">
      <c r="A782" s="5">
        <f>IFERROR(INDEX('Input Barang'!$B$2:$B$1000,771),"")</f>
      </c>
      <c r="B782" s="4">
        <f>IF(A782="","",COUNTIF('Input Barang'!$B$2:$B$1000,A782))</f>
      </c>
      <c r="C782" s="4">
        <f>IF(A782="","",COUNTIF('Output Agus'!$B$2:$B$1000,A782))</f>
      </c>
      <c r="D782" s="4">
        <f>IF(A782="","",COUNTIF('Output Rexa'!$B$2:$B$1000,A782))</f>
      </c>
      <c r="E782" s="4">
        <f>IF(A782="","",B782-C782-D782)</f>
      </c>
    </row>
    <row r="783">
      <c r="A783" s="5">
        <f>IFERROR(INDEX('Input Barang'!$B$2:$B$1000,772),"")</f>
      </c>
      <c r="B783" s="4">
        <f>IF(A783="","",COUNTIF('Input Barang'!$B$2:$B$1000,A783))</f>
      </c>
      <c r="C783" s="4">
        <f>IF(A783="","",COUNTIF('Output Agus'!$B$2:$B$1000,A783))</f>
      </c>
      <c r="D783" s="4">
        <f>IF(A783="","",COUNTIF('Output Rexa'!$B$2:$B$1000,A783))</f>
      </c>
      <c r="E783" s="4">
        <f>IF(A783="","",B783-C783-D783)</f>
      </c>
    </row>
    <row r="784">
      <c r="A784" s="5">
        <f>IFERROR(INDEX('Input Barang'!$B$2:$B$1000,773),"")</f>
      </c>
      <c r="B784" s="4">
        <f>IF(A784="","",COUNTIF('Input Barang'!$B$2:$B$1000,A784))</f>
      </c>
      <c r="C784" s="4">
        <f>IF(A784="","",COUNTIF('Output Agus'!$B$2:$B$1000,A784))</f>
      </c>
      <c r="D784" s="4">
        <f>IF(A784="","",COUNTIF('Output Rexa'!$B$2:$B$1000,A784))</f>
      </c>
      <c r="E784" s="4">
        <f>IF(A784="","",B784-C784-D784)</f>
      </c>
    </row>
    <row r="785">
      <c r="A785" s="5">
        <f>IFERROR(INDEX('Input Barang'!$B$2:$B$1000,774),"")</f>
      </c>
      <c r="B785" s="4">
        <f>IF(A785="","",COUNTIF('Input Barang'!$B$2:$B$1000,A785))</f>
      </c>
      <c r="C785" s="4">
        <f>IF(A785="","",COUNTIF('Output Agus'!$B$2:$B$1000,A785))</f>
      </c>
      <c r="D785" s="4">
        <f>IF(A785="","",COUNTIF('Output Rexa'!$B$2:$B$1000,A785))</f>
      </c>
      <c r="E785" s="4">
        <f>IF(A785="","",B785-C785-D785)</f>
      </c>
    </row>
    <row r="786">
      <c r="A786" s="5">
        <f>IFERROR(INDEX('Input Barang'!$B$2:$B$1000,775),"")</f>
      </c>
      <c r="B786" s="4">
        <f>IF(A786="","",COUNTIF('Input Barang'!$B$2:$B$1000,A786))</f>
      </c>
      <c r="C786" s="4">
        <f>IF(A786="","",COUNTIF('Output Agus'!$B$2:$B$1000,A786))</f>
      </c>
      <c r="D786" s="4">
        <f>IF(A786="","",COUNTIF('Output Rexa'!$B$2:$B$1000,A786))</f>
      </c>
      <c r="E786" s="4">
        <f>IF(A786="","",B786-C786-D786)</f>
      </c>
    </row>
    <row r="787">
      <c r="A787" s="5">
        <f>IFERROR(INDEX('Input Barang'!$B$2:$B$1000,776),"")</f>
      </c>
      <c r="B787" s="4">
        <f>IF(A787="","",COUNTIF('Input Barang'!$B$2:$B$1000,A787))</f>
      </c>
      <c r="C787" s="4">
        <f>IF(A787="","",COUNTIF('Output Agus'!$B$2:$B$1000,A787))</f>
      </c>
      <c r="D787" s="4">
        <f>IF(A787="","",COUNTIF('Output Rexa'!$B$2:$B$1000,A787))</f>
      </c>
      <c r="E787" s="4">
        <f>IF(A787="","",B787-C787-D787)</f>
      </c>
    </row>
    <row r="788">
      <c r="A788" s="5">
        <f>IFERROR(INDEX('Input Barang'!$B$2:$B$1000,777),"")</f>
      </c>
      <c r="B788" s="4">
        <f>IF(A788="","",COUNTIF('Input Barang'!$B$2:$B$1000,A788))</f>
      </c>
      <c r="C788" s="4">
        <f>IF(A788="","",COUNTIF('Output Agus'!$B$2:$B$1000,A788))</f>
      </c>
      <c r="D788" s="4">
        <f>IF(A788="","",COUNTIF('Output Rexa'!$B$2:$B$1000,A788))</f>
      </c>
      <c r="E788" s="4">
        <f>IF(A788="","",B788-C788-D788)</f>
      </c>
    </row>
    <row r="789">
      <c r="A789" s="5">
        <f>IFERROR(INDEX('Input Barang'!$B$2:$B$1000,778),"")</f>
      </c>
      <c r="B789" s="4">
        <f>IF(A789="","",COUNTIF('Input Barang'!$B$2:$B$1000,A789))</f>
      </c>
      <c r="C789" s="4">
        <f>IF(A789="","",COUNTIF('Output Agus'!$B$2:$B$1000,A789))</f>
      </c>
      <c r="D789" s="4">
        <f>IF(A789="","",COUNTIF('Output Rexa'!$B$2:$B$1000,A789))</f>
      </c>
      <c r="E789" s="4">
        <f>IF(A789="","",B789-C789-D789)</f>
      </c>
    </row>
    <row r="790">
      <c r="A790" s="5">
        <f>IFERROR(INDEX('Input Barang'!$B$2:$B$1000,779),"")</f>
      </c>
      <c r="B790" s="4">
        <f>IF(A790="","",COUNTIF('Input Barang'!$B$2:$B$1000,A790))</f>
      </c>
      <c r="C790" s="4">
        <f>IF(A790="","",COUNTIF('Output Agus'!$B$2:$B$1000,A790))</f>
      </c>
      <c r="D790" s="4">
        <f>IF(A790="","",COUNTIF('Output Rexa'!$B$2:$B$1000,A790))</f>
      </c>
      <c r="E790" s="4">
        <f>IF(A790="","",B790-C790-D790)</f>
      </c>
    </row>
    <row r="791">
      <c r="A791" s="5">
        <f>IFERROR(INDEX('Input Barang'!$B$2:$B$1000,780),"")</f>
      </c>
      <c r="B791" s="4">
        <f>IF(A791="","",COUNTIF('Input Barang'!$B$2:$B$1000,A791))</f>
      </c>
      <c r="C791" s="4">
        <f>IF(A791="","",COUNTIF('Output Agus'!$B$2:$B$1000,A791))</f>
      </c>
      <c r="D791" s="4">
        <f>IF(A791="","",COUNTIF('Output Rexa'!$B$2:$B$1000,A791))</f>
      </c>
      <c r="E791" s="4">
        <f>IF(A791="","",B791-C791-D791)</f>
      </c>
    </row>
    <row r="792">
      <c r="A792" s="5">
        <f>IFERROR(INDEX('Input Barang'!$B$2:$B$1000,781),"")</f>
      </c>
      <c r="B792" s="4">
        <f>IF(A792="","",COUNTIF('Input Barang'!$B$2:$B$1000,A792))</f>
      </c>
      <c r="C792" s="4">
        <f>IF(A792="","",COUNTIF('Output Agus'!$B$2:$B$1000,A792))</f>
      </c>
      <c r="D792" s="4">
        <f>IF(A792="","",COUNTIF('Output Rexa'!$B$2:$B$1000,A792))</f>
      </c>
      <c r="E792" s="4">
        <f>IF(A792="","",B792-C792-D792)</f>
      </c>
    </row>
    <row r="793">
      <c r="A793" s="5">
        <f>IFERROR(INDEX('Input Barang'!$B$2:$B$1000,782),"")</f>
      </c>
      <c r="B793" s="4">
        <f>IF(A793="","",COUNTIF('Input Barang'!$B$2:$B$1000,A793))</f>
      </c>
      <c r="C793" s="4">
        <f>IF(A793="","",COUNTIF('Output Agus'!$B$2:$B$1000,A793))</f>
      </c>
      <c r="D793" s="4">
        <f>IF(A793="","",COUNTIF('Output Rexa'!$B$2:$B$1000,A793))</f>
      </c>
      <c r="E793" s="4">
        <f>IF(A793="","",B793-C793-D793)</f>
      </c>
    </row>
    <row r="794">
      <c r="A794" s="5">
        <f>IFERROR(INDEX('Input Barang'!$B$2:$B$1000,783),"")</f>
      </c>
      <c r="B794" s="4">
        <f>IF(A794="","",COUNTIF('Input Barang'!$B$2:$B$1000,A794))</f>
      </c>
      <c r="C794" s="4">
        <f>IF(A794="","",COUNTIF('Output Agus'!$B$2:$B$1000,A794))</f>
      </c>
      <c r="D794" s="4">
        <f>IF(A794="","",COUNTIF('Output Rexa'!$B$2:$B$1000,A794))</f>
      </c>
      <c r="E794" s="4">
        <f>IF(A794="","",B794-C794-D794)</f>
      </c>
    </row>
    <row r="795">
      <c r="A795" s="5">
        <f>IFERROR(INDEX('Input Barang'!$B$2:$B$1000,784),"")</f>
      </c>
      <c r="B795" s="4">
        <f>IF(A795="","",COUNTIF('Input Barang'!$B$2:$B$1000,A795))</f>
      </c>
      <c r="C795" s="4">
        <f>IF(A795="","",COUNTIF('Output Agus'!$B$2:$B$1000,A795))</f>
      </c>
      <c r="D795" s="4">
        <f>IF(A795="","",COUNTIF('Output Rexa'!$B$2:$B$1000,A795))</f>
      </c>
      <c r="E795" s="4">
        <f>IF(A795="","",B795-C795-D795)</f>
      </c>
    </row>
    <row r="796">
      <c r="A796" s="5">
        <f>IFERROR(INDEX('Input Barang'!$B$2:$B$1000,785),"")</f>
      </c>
      <c r="B796" s="4">
        <f>IF(A796="","",COUNTIF('Input Barang'!$B$2:$B$1000,A796))</f>
      </c>
      <c r="C796" s="4">
        <f>IF(A796="","",COUNTIF('Output Agus'!$B$2:$B$1000,A796))</f>
      </c>
      <c r="D796" s="4">
        <f>IF(A796="","",COUNTIF('Output Rexa'!$B$2:$B$1000,A796))</f>
      </c>
      <c r="E796" s="4">
        <f>IF(A796="","",B796-C796-D796)</f>
      </c>
    </row>
    <row r="797">
      <c r="A797" s="5">
        <f>IFERROR(INDEX('Input Barang'!$B$2:$B$1000,786),"")</f>
      </c>
      <c r="B797" s="4">
        <f>IF(A797="","",COUNTIF('Input Barang'!$B$2:$B$1000,A797))</f>
      </c>
      <c r="C797" s="4">
        <f>IF(A797="","",COUNTIF('Output Agus'!$B$2:$B$1000,A797))</f>
      </c>
      <c r="D797" s="4">
        <f>IF(A797="","",COUNTIF('Output Rexa'!$B$2:$B$1000,A797))</f>
      </c>
      <c r="E797" s="4">
        <f>IF(A797="","",B797-C797-D797)</f>
      </c>
    </row>
    <row r="798">
      <c r="A798" s="5">
        <f>IFERROR(INDEX('Input Barang'!$B$2:$B$1000,787),"")</f>
      </c>
      <c r="B798" s="4">
        <f>IF(A798="","",COUNTIF('Input Barang'!$B$2:$B$1000,A798))</f>
      </c>
      <c r="C798" s="4">
        <f>IF(A798="","",COUNTIF('Output Agus'!$B$2:$B$1000,A798))</f>
      </c>
      <c r="D798" s="4">
        <f>IF(A798="","",COUNTIF('Output Rexa'!$B$2:$B$1000,A798))</f>
      </c>
      <c r="E798" s="4">
        <f>IF(A798="","",B798-C798-D798)</f>
      </c>
    </row>
    <row r="799">
      <c r="A799" s="5">
        <f>IFERROR(INDEX('Input Barang'!$B$2:$B$1000,788),"")</f>
      </c>
      <c r="B799" s="4">
        <f>IF(A799="","",COUNTIF('Input Barang'!$B$2:$B$1000,A799))</f>
      </c>
      <c r="C799" s="4">
        <f>IF(A799="","",COUNTIF('Output Agus'!$B$2:$B$1000,A799))</f>
      </c>
      <c r="D799" s="4">
        <f>IF(A799="","",COUNTIF('Output Rexa'!$B$2:$B$1000,A799))</f>
      </c>
      <c r="E799" s="4">
        <f>IF(A799="","",B799-C799-D799)</f>
      </c>
    </row>
    <row r="800">
      <c r="A800" s="5">
        <f>IFERROR(INDEX('Input Barang'!$B$2:$B$1000,789),"")</f>
      </c>
      <c r="B800" s="4">
        <f>IF(A800="","",COUNTIF('Input Barang'!$B$2:$B$1000,A800))</f>
      </c>
      <c r="C800" s="4">
        <f>IF(A800="","",COUNTIF('Output Agus'!$B$2:$B$1000,A800))</f>
      </c>
      <c r="D800" s="4">
        <f>IF(A800="","",COUNTIF('Output Rexa'!$B$2:$B$1000,A800))</f>
      </c>
      <c r="E800" s="4">
        <f>IF(A800="","",B800-C800-D800)</f>
      </c>
    </row>
    <row r="801">
      <c r="A801" s="5">
        <f>IFERROR(INDEX('Input Barang'!$B$2:$B$1000,790),"")</f>
      </c>
      <c r="B801" s="4">
        <f>IF(A801="","",COUNTIF('Input Barang'!$B$2:$B$1000,A801))</f>
      </c>
      <c r="C801" s="4">
        <f>IF(A801="","",COUNTIF('Output Agus'!$B$2:$B$1000,A801))</f>
      </c>
      <c r="D801" s="4">
        <f>IF(A801="","",COUNTIF('Output Rexa'!$B$2:$B$1000,A801))</f>
      </c>
      <c r="E801" s="4">
        <f>IF(A801="","",B801-C801-D801)</f>
      </c>
    </row>
    <row r="802">
      <c r="A802" s="5">
        <f>IFERROR(INDEX('Input Barang'!$B$2:$B$1000,791),"")</f>
      </c>
      <c r="B802" s="4">
        <f>IF(A802="","",COUNTIF('Input Barang'!$B$2:$B$1000,A802))</f>
      </c>
      <c r="C802" s="4">
        <f>IF(A802="","",COUNTIF('Output Agus'!$B$2:$B$1000,A802))</f>
      </c>
      <c r="D802" s="4">
        <f>IF(A802="","",COUNTIF('Output Rexa'!$B$2:$B$1000,A802))</f>
      </c>
      <c r="E802" s="4">
        <f>IF(A802="","",B802-C802-D802)</f>
      </c>
    </row>
    <row r="803">
      <c r="A803" s="5">
        <f>IFERROR(INDEX('Input Barang'!$B$2:$B$1000,792),"")</f>
      </c>
      <c r="B803" s="4">
        <f>IF(A803="","",COUNTIF('Input Barang'!$B$2:$B$1000,A803))</f>
      </c>
      <c r="C803" s="4">
        <f>IF(A803="","",COUNTIF('Output Agus'!$B$2:$B$1000,A803))</f>
      </c>
      <c r="D803" s="4">
        <f>IF(A803="","",COUNTIF('Output Rexa'!$B$2:$B$1000,A803))</f>
      </c>
      <c r="E803" s="4">
        <f>IF(A803="","",B803-C803-D803)</f>
      </c>
    </row>
    <row r="804">
      <c r="A804" s="5">
        <f>IFERROR(INDEX('Input Barang'!$B$2:$B$1000,793),"")</f>
      </c>
      <c r="B804" s="4">
        <f>IF(A804="","",COUNTIF('Input Barang'!$B$2:$B$1000,A804))</f>
      </c>
      <c r="C804" s="4">
        <f>IF(A804="","",COUNTIF('Output Agus'!$B$2:$B$1000,A804))</f>
      </c>
      <c r="D804" s="4">
        <f>IF(A804="","",COUNTIF('Output Rexa'!$B$2:$B$1000,A804))</f>
      </c>
      <c r="E804" s="4">
        <f>IF(A804="","",B804-C804-D804)</f>
      </c>
    </row>
    <row r="805">
      <c r="A805" s="5">
        <f>IFERROR(INDEX('Input Barang'!$B$2:$B$1000,794),"")</f>
      </c>
      <c r="B805" s="4">
        <f>IF(A805="","",COUNTIF('Input Barang'!$B$2:$B$1000,A805))</f>
      </c>
      <c r="C805" s="4">
        <f>IF(A805="","",COUNTIF('Output Agus'!$B$2:$B$1000,A805))</f>
      </c>
      <c r="D805" s="4">
        <f>IF(A805="","",COUNTIF('Output Rexa'!$B$2:$B$1000,A805))</f>
      </c>
      <c r="E805" s="4">
        <f>IF(A805="","",B805-C805-D805)</f>
      </c>
    </row>
    <row r="806">
      <c r="A806" s="5">
        <f>IFERROR(INDEX('Input Barang'!$B$2:$B$1000,795),"")</f>
      </c>
      <c r="B806" s="4">
        <f>IF(A806="","",COUNTIF('Input Barang'!$B$2:$B$1000,A806))</f>
      </c>
      <c r="C806" s="4">
        <f>IF(A806="","",COUNTIF('Output Agus'!$B$2:$B$1000,A806))</f>
      </c>
      <c r="D806" s="4">
        <f>IF(A806="","",COUNTIF('Output Rexa'!$B$2:$B$1000,A806))</f>
      </c>
      <c r="E806" s="4">
        <f>IF(A806="","",B806-C806-D806)</f>
      </c>
    </row>
    <row r="807">
      <c r="A807" s="5">
        <f>IFERROR(INDEX('Input Barang'!$B$2:$B$1000,796),"")</f>
      </c>
      <c r="B807" s="4">
        <f>IF(A807="","",COUNTIF('Input Barang'!$B$2:$B$1000,A807))</f>
      </c>
      <c r="C807" s="4">
        <f>IF(A807="","",COUNTIF('Output Agus'!$B$2:$B$1000,A807))</f>
      </c>
      <c r="D807" s="4">
        <f>IF(A807="","",COUNTIF('Output Rexa'!$B$2:$B$1000,A807))</f>
      </c>
      <c r="E807" s="4">
        <f>IF(A807="","",B807-C807-D807)</f>
      </c>
    </row>
    <row r="808">
      <c r="A808" s="5">
        <f>IFERROR(INDEX('Input Barang'!$B$2:$B$1000,797),"")</f>
      </c>
      <c r="B808" s="4">
        <f>IF(A808="","",COUNTIF('Input Barang'!$B$2:$B$1000,A808))</f>
      </c>
      <c r="C808" s="4">
        <f>IF(A808="","",COUNTIF('Output Agus'!$B$2:$B$1000,A808))</f>
      </c>
      <c r="D808" s="4">
        <f>IF(A808="","",COUNTIF('Output Rexa'!$B$2:$B$1000,A808))</f>
      </c>
      <c r="E808" s="4">
        <f>IF(A808="","",B808-C808-D808)</f>
      </c>
    </row>
    <row r="809">
      <c r="A809" s="5">
        <f>IFERROR(INDEX('Input Barang'!$B$2:$B$1000,798),"")</f>
      </c>
      <c r="B809" s="4">
        <f>IF(A809="","",COUNTIF('Input Barang'!$B$2:$B$1000,A809))</f>
      </c>
      <c r="C809" s="4">
        <f>IF(A809="","",COUNTIF('Output Agus'!$B$2:$B$1000,A809))</f>
      </c>
      <c r="D809" s="4">
        <f>IF(A809="","",COUNTIF('Output Rexa'!$B$2:$B$1000,A809))</f>
      </c>
      <c r="E809" s="4">
        <f>IF(A809="","",B809-C809-D809)</f>
      </c>
    </row>
    <row r="810">
      <c r="A810" s="5">
        <f>IFERROR(INDEX('Input Barang'!$B$2:$B$1000,799),"")</f>
      </c>
      <c r="B810" s="4">
        <f>IF(A810="","",COUNTIF('Input Barang'!$B$2:$B$1000,A810))</f>
      </c>
      <c r="C810" s="4">
        <f>IF(A810="","",COUNTIF('Output Agus'!$B$2:$B$1000,A810))</f>
      </c>
      <c r="D810" s="4">
        <f>IF(A810="","",COUNTIF('Output Rexa'!$B$2:$B$1000,A810))</f>
      </c>
      <c r="E810" s="4">
        <f>IF(A810="","",B810-C810-D810)</f>
      </c>
    </row>
    <row r="811">
      <c r="A811" s="5">
        <f>IFERROR(INDEX('Input Barang'!$B$2:$B$1000,800),"")</f>
      </c>
      <c r="B811" s="4">
        <f>IF(A811="","",COUNTIF('Input Barang'!$B$2:$B$1000,A811))</f>
      </c>
      <c r="C811" s="4">
        <f>IF(A811="","",COUNTIF('Output Agus'!$B$2:$B$1000,A811))</f>
      </c>
      <c r="D811" s="4">
        <f>IF(A811="","",COUNTIF('Output Rexa'!$B$2:$B$1000,A811))</f>
      </c>
      <c r="E811" s="4">
        <f>IF(A811="","",B811-C811-D811)</f>
      </c>
    </row>
    <row r="812">
      <c r="A812" s="5">
        <f>IFERROR(INDEX('Input Barang'!$B$2:$B$1000,801),"")</f>
      </c>
      <c r="B812" s="4">
        <f>IF(A812="","",COUNTIF('Input Barang'!$B$2:$B$1000,A812))</f>
      </c>
      <c r="C812" s="4">
        <f>IF(A812="","",COUNTIF('Output Agus'!$B$2:$B$1000,A812))</f>
      </c>
      <c r="D812" s="4">
        <f>IF(A812="","",COUNTIF('Output Rexa'!$B$2:$B$1000,A812))</f>
      </c>
      <c r="E812" s="4">
        <f>IF(A812="","",B812-C812-D812)</f>
      </c>
    </row>
    <row r="813">
      <c r="A813" s="5">
        <f>IFERROR(INDEX('Input Barang'!$B$2:$B$1000,802),"")</f>
      </c>
      <c r="B813" s="4">
        <f>IF(A813="","",COUNTIF('Input Barang'!$B$2:$B$1000,A813))</f>
      </c>
      <c r="C813" s="4">
        <f>IF(A813="","",COUNTIF('Output Agus'!$B$2:$B$1000,A813))</f>
      </c>
      <c r="D813" s="4">
        <f>IF(A813="","",COUNTIF('Output Rexa'!$B$2:$B$1000,A813))</f>
      </c>
      <c r="E813" s="4">
        <f>IF(A813="","",B813-C813-D813)</f>
      </c>
    </row>
    <row r="814">
      <c r="A814" s="5">
        <f>IFERROR(INDEX('Input Barang'!$B$2:$B$1000,803),"")</f>
      </c>
      <c r="B814" s="4">
        <f>IF(A814="","",COUNTIF('Input Barang'!$B$2:$B$1000,A814))</f>
      </c>
      <c r="C814" s="4">
        <f>IF(A814="","",COUNTIF('Output Agus'!$B$2:$B$1000,A814))</f>
      </c>
      <c r="D814" s="4">
        <f>IF(A814="","",COUNTIF('Output Rexa'!$B$2:$B$1000,A814))</f>
      </c>
      <c r="E814" s="4">
        <f>IF(A814="","",B814-C814-D814)</f>
      </c>
    </row>
    <row r="815">
      <c r="A815" s="5">
        <f>IFERROR(INDEX('Input Barang'!$B$2:$B$1000,804),"")</f>
      </c>
      <c r="B815" s="4">
        <f>IF(A815="","",COUNTIF('Input Barang'!$B$2:$B$1000,A815))</f>
      </c>
      <c r="C815" s="4">
        <f>IF(A815="","",COUNTIF('Output Agus'!$B$2:$B$1000,A815))</f>
      </c>
      <c r="D815" s="4">
        <f>IF(A815="","",COUNTIF('Output Rexa'!$B$2:$B$1000,A815))</f>
      </c>
      <c r="E815" s="4">
        <f>IF(A815="","",B815-C815-D815)</f>
      </c>
    </row>
    <row r="816">
      <c r="A816" s="5">
        <f>IFERROR(INDEX('Input Barang'!$B$2:$B$1000,805),"")</f>
      </c>
      <c r="B816" s="4">
        <f>IF(A816="","",COUNTIF('Input Barang'!$B$2:$B$1000,A816))</f>
      </c>
      <c r="C816" s="4">
        <f>IF(A816="","",COUNTIF('Output Agus'!$B$2:$B$1000,A816))</f>
      </c>
      <c r="D816" s="4">
        <f>IF(A816="","",COUNTIF('Output Rexa'!$B$2:$B$1000,A816))</f>
      </c>
      <c r="E816" s="4">
        <f>IF(A816="","",B816-C816-D816)</f>
      </c>
    </row>
    <row r="817">
      <c r="A817" s="5">
        <f>IFERROR(INDEX('Input Barang'!$B$2:$B$1000,806),"")</f>
      </c>
      <c r="B817" s="4">
        <f>IF(A817="","",COUNTIF('Input Barang'!$B$2:$B$1000,A817))</f>
      </c>
      <c r="C817" s="4">
        <f>IF(A817="","",COUNTIF('Output Agus'!$B$2:$B$1000,A817))</f>
      </c>
      <c r="D817" s="4">
        <f>IF(A817="","",COUNTIF('Output Rexa'!$B$2:$B$1000,A817))</f>
      </c>
      <c r="E817" s="4">
        <f>IF(A817="","",B817-C817-D817)</f>
      </c>
    </row>
    <row r="818">
      <c r="A818" s="5">
        <f>IFERROR(INDEX('Input Barang'!$B$2:$B$1000,807),"")</f>
      </c>
      <c r="B818" s="4">
        <f>IF(A818="","",COUNTIF('Input Barang'!$B$2:$B$1000,A818))</f>
      </c>
      <c r="C818" s="4">
        <f>IF(A818="","",COUNTIF('Output Agus'!$B$2:$B$1000,A818))</f>
      </c>
      <c r="D818" s="4">
        <f>IF(A818="","",COUNTIF('Output Rexa'!$B$2:$B$1000,A818))</f>
      </c>
      <c r="E818" s="4">
        <f>IF(A818="","",B818-C818-D818)</f>
      </c>
    </row>
    <row r="819">
      <c r="A819" s="5">
        <f>IFERROR(INDEX('Input Barang'!$B$2:$B$1000,808),"")</f>
      </c>
      <c r="B819" s="4">
        <f>IF(A819="","",COUNTIF('Input Barang'!$B$2:$B$1000,A819))</f>
      </c>
      <c r="C819" s="4">
        <f>IF(A819="","",COUNTIF('Output Agus'!$B$2:$B$1000,A819))</f>
      </c>
      <c r="D819" s="4">
        <f>IF(A819="","",COUNTIF('Output Rexa'!$B$2:$B$1000,A819))</f>
      </c>
      <c r="E819" s="4">
        <f>IF(A819="","",B819-C819-D819)</f>
      </c>
    </row>
    <row r="820">
      <c r="A820" s="5">
        <f>IFERROR(INDEX('Input Barang'!$B$2:$B$1000,809),"")</f>
      </c>
      <c r="B820" s="4">
        <f>IF(A820="","",COUNTIF('Input Barang'!$B$2:$B$1000,A820))</f>
      </c>
      <c r="C820" s="4">
        <f>IF(A820="","",COUNTIF('Output Agus'!$B$2:$B$1000,A820))</f>
      </c>
      <c r="D820" s="4">
        <f>IF(A820="","",COUNTIF('Output Rexa'!$B$2:$B$1000,A820))</f>
      </c>
      <c r="E820" s="4">
        <f>IF(A820="","",B820-C820-D820)</f>
      </c>
    </row>
    <row r="821">
      <c r="A821" s="5">
        <f>IFERROR(INDEX('Input Barang'!$B$2:$B$1000,810),"")</f>
      </c>
      <c r="B821" s="4">
        <f>IF(A821="","",COUNTIF('Input Barang'!$B$2:$B$1000,A821))</f>
      </c>
      <c r="C821" s="4">
        <f>IF(A821="","",COUNTIF('Output Agus'!$B$2:$B$1000,A821))</f>
      </c>
      <c r="D821" s="4">
        <f>IF(A821="","",COUNTIF('Output Rexa'!$B$2:$B$1000,A821))</f>
      </c>
      <c r="E821" s="4">
        <f>IF(A821="","",B821-C821-D821)</f>
      </c>
    </row>
    <row r="822">
      <c r="A822" s="5">
        <f>IFERROR(INDEX('Input Barang'!$B$2:$B$1000,811),"")</f>
      </c>
      <c r="B822" s="4">
        <f>IF(A822="","",COUNTIF('Input Barang'!$B$2:$B$1000,A822))</f>
      </c>
      <c r="C822" s="4">
        <f>IF(A822="","",COUNTIF('Output Agus'!$B$2:$B$1000,A822))</f>
      </c>
      <c r="D822" s="4">
        <f>IF(A822="","",COUNTIF('Output Rexa'!$B$2:$B$1000,A822))</f>
      </c>
      <c r="E822" s="4">
        <f>IF(A822="","",B822-C822-D822)</f>
      </c>
    </row>
    <row r="823">
      <c r="A823" s="5">
        <f>IFERROR(INDEX('Input Barang'!$B$2:$B$1000,812),"")</f>
      </c>
      <c r="B823" s="4">
        <f>IF(A823="","",COUNTIF('Input Barang'!$B$2:$B$1000,A823))</f>
      </c>
      <c r="C823" s="4">
        <f>IF(A823="","",COUNTIF('Output Agus'!$B$2:$B$1000,A823))</f>
      </c>
      <c r="D823" s="4">
        <f>IF(A823="","",COUNTIF('Output Rexa'!$B$2:$B$1000,A823))</f>
      </c>
      <c r="E823" s="4">
        <f>IF(A823="","",B823-C823-D823)</f>
      </c>
    </row>
    <row r="824">
      <c r="A824" s="5">
        <f>IFERROR(INDEX('Input Barang'!$B$2:$B$1000,813),"")</f>
      </c>
      <c r="B824" s="4">
        <f>IF(A824="","",COUNTIF('Input Barang'!$B$2:$B$1000,A824))</f>
      </c>
      <c r="C824" s="4">
        <f>IF(A824="","",COUNTIF('Output Agus'!$B$2:$B$1000,A824))</f>
      </c>
      <c r="D824" s="4">
        <f>IF(A824="","",COUNTIF('Output Rexa'!$B$2:$B$1000,A824))</f>
      </c>
      <c r="E824" s="4">
        <f>IF(A824="","",B824-C824-D824)</f>
      </c>
    </row>
    <row r="825">
      <c r="A825" s="5">
        <f>IFERROR(INDEX('Input Barang'!$B$2:$B$1000,814),"")</f>
      </c>
      <c r="B825" s="4">
        <f>IF(A825="","",COUNTIF('Input Barang'!$B$2:$B$1000,A825))</f>
      </c>
      <c r="C825" s="4">
        <f>IF(A825="","",COUNTIF('Output Agus'!$B$2:$B$1000,A825))</f>
      </c>
      <c r="D825" s="4">
        <f>IF(A825="","",COUNTIF('Output Rexa'!$B$2:$B$1000,A825))</f>
      </c>
      <c r="E825" s="4">
        <f>IF(A825="","",B825-C825-D825)</f>
      </c>
    </row>
    <row r="826">
      <c r="A826" s="5">
        <f>IFERROR(INDEX('Input Barang'!$B$2:$B$1000,815),"")</f>
      </c>
      <c r="B826" s="4">
        <f>IF(A826="","",COUNTIF('Input Barang'!$B$2:$B$1000,A826))</f>
      </c>
      <c r="C826" s="4">
        <f>IF(A826="","",COUNTIF('Output Agus'!$B$2:$B$1000,A826))</f>
      </c>
      <c r="D826" s="4">
        <f>IF(A826="","",COUNTIF('Output Rexa'!$B$2:$B$1000,A826))</f>
      </c>
      <c r="E826" s="4">
        <f>IF(A826="","",B826-C826-D826)</f>
      </c>
    </row>
    <row r="827">
      <c r="A827" s="5">
        <f>IFERROR(INDEX('Input Barang'!$B$2:$B$1000,816),"")</f>
      </c>
      <c r="B827" s="4">
        <f>IF(A827="","",COUNTIF('Input Barang'!$B$2:$B$1000,A827))</f>
      </c>
      <c r="C827" s="4">
        <f>IF(A827="","",COUNTIF('Output Agus'!$B$2:$B$1000,A827))</f>
      </c>
      <c r="D827" s="4">
        <f>IF(A827="","",COUNTIF('Output Rexa'!$B$2:$B$1000,A827))</f>
      </c>
      <c r="E827" s="4">
        <f>IF(A827="","",B827-C827-D827)</f>
      </c>
    </row>
    <row r="828">
      <c r="A828" s="5">
        <f>IFERROR(INDEX('Input Barang'!$B$2:$B$1000,817),"")</f>
      </c>
      <c r="B828" s="4">
        <f>IF(A828="","",COUNTIF('Input Barang'!$B$2:$B$1000,A828))</f>
      </c>
      <c r="C828" s="4">
        <f>IF(A828="","",COUNTIF('Output Agus'!$B$2:$B$1000,A828))</f>
      </c>
      <c r="D828" s="4">
        <f>IF(A828="","",COUNTIF('Output Rexa'!$B$2:$B$1000,A828))</f>
      </c>
      <c r="E828" s="4">
        <f>IF(A828="","",B828-C828-D828)</f>
      </c>
    </row>
    <row r="829">
      <c r="A829" s="5">
        <f>IFERROR(INDEX('Input Barang'!$B$2:$B$1000,818),"")</f>
      </c>
      <c r="B829" s="4">
        <f>IF(A829="","",COUNTIF('Input Barang'!$B$2:$B$1000,A829))</f>
      </c>
      <c r="C829" s="4">
        <f>IF(A829="","",COUNTIF('Output Agus'!$B$2:$B$1000,A829))</f>
      </c>
      <c r="D829" s="4">
        <f>IF(A829="","",COUNTIF('Output Rexa'!$B$2:$B$1000,A829))</f>
      </c>
      <c r="E829" s="4">
        <f>IF(A829="","",B829-C829-D829)</f>
      </c>
    </row>
    <row r="830">
      <c r="A830" s="5">
        <f>IFERROR(INDEX('Input Barang'!$B$2:$B$1000,819),"")</f>
      </c>
      <c r="B830" s="4">
        <f>IF(A830="","",COUNTIF('Input Barang'!$B$2:$B$1000,A830))</f>
      </c>
      <c r="C830" s="4">
        <f>IF(A830="","",COUNTIF('Output Agus'!$B$2:$B$1000,A830))</f>
      </c>
      <c r="D830" s="4">
        <f>IF(A830="","",COUNTIF('Output Rexa'!$B$2:$B$1000,A830))</f>
      </c>
      <c r="E830" s="4">
        <f>IF(A830="","",B830-C830-D830)</f>
      </c>
    </row>
    <row r="831">
      <c r="A831" s="5">
        <f>IFERROR(INDEX('Input Barang'!$B$2:$B$1000,820),"")</f>
      </c>
      <c r="B831" s="4">
        <f>IF(A831="","",COUNTIF('Input Barang'!$B$2:$B$1000,A831))</f>
      </c>
      <c r="C831" s="4">
        <f>IF(A831="","",COUNTIF('Output Agus'!$B$2:$B$1000,A831))</f>
      </c>
      <c r="D831" s="4">
        <f>IF(A831="","",COUNTIF('Output Rexa'!$B$2:$B$1000,A831))</f>
      </c>
      <c r="E831" s="4">
        <f>IF(A831="","",B831-C831-D831)</f>
      </c>
    </row>
    <row r="832">
      <c r="A832" s="5">
        <f>IFERROR(INDEX('Input Barang'!$B$2:$B$1000,821),"")</f>
      </c>
      <c r="B832" s="4">
        <f>IF(A832="","",COUNTIF('Input Barang'!$B$2:$B$1000,A832))</f>
      </c>
      <c r="C832" s="4">
        <f>IF(A832="","",COUNTIF('Output Agus'!$B$2:$B$1000,A832))</f>
      </c>
      <c r="D832" s="4">
        <f>IF(A832="","",COUNTIF('Output Rexa'!$B$2:$B$1000,A832))</f>
      </c>
      <c r="E832" s="4">
        <f>IF(A832="","",B832-C832-D832)</f>
      </c>
    </row>
    <row r="833">
      <c r="A833" s="5">
        <f>IFERROR(INDEX('Input Barang'!$B$2:$B$1000,822),"")</f>
      </c>
      <c r="B833" s="4">
        <f>IF(A833="","",COUNTIF('Input Barang'!$B$2:$B$1000,A833))</f>
      </c>
      <c r="C833" s="4">
        <f>IF(A833="","",COUNTIF('Output Agus'!$B$2:$B$1000,A833))</f>
      </c>
      <c r="D833" s="4">
        <f>IF(A833="","",COUNTIF('Output Rexa'!$B$2:$B$1000,A833))</f>
      </c>
      <c r="E833" s="4">
        <f>IF(A833="","",B833-C833-D833)</f>
      </c>
    </row>
    <row r="834">
      <c r="A834" s="5">
        <f>IFERROR(INDEX('Input Barang'!$B$2:$B$1000,823),"")</f>
      </c>
      <c r="B834" s="4">
        <f>IF(A834="","",COUNTIF('Input Barang'!$B$2:$B$1000,A834))</f>
      </c>
      <c r="C834" s="4">
        <f>IF(A834="","",COUNTIF('Output Agus'!$B$2:$B$1000,A834))</f>
      </c>
      <c r="D834" s="4">
        <f>IF(A834="","",COUNTIF('Output Rexa'!$B$2:$B$1000,A834))</f>
      </c>
      <c r="E834" s="4">
        <f>IF(A834="","",B834-C834-D834)</f>
      </c>
    </row>
    <row r="835">
      <c r="A835" s="5">
        <f>IFERROR(INDEX('Input Barang'!$B$2:$B$1000,824),"")</f>
      </c>
      <c r="B835" s="4">
        <f>IF(A835="","",COUNTIF('Input Barang'!$B$2:$B$1000,A835))</f>
      </c>
      <c r="C835" s="4">
        <f>IF(A835="","",COUNTIF('Output Agus'!$B$2:$B$1000,A835))</f>
      </c>
      <c r="D835" s="4">
        <f>IF(A835="","",COUNTIF('Output Rexa'!$B$2:$B$1000,A835))</f>
      </c>
      <c r="E835" s="4">
        <f>IF(A835="","",B835-C835-D835)</f>
      </c>
    </row>
    <row r="836">
      <c r="A836" s="5">
        <f>IFERROR(INDEX('Input Barang'!$B$2:$B$1000,825),"")</f>
      </c>
      <c r="B836" s="4">
        <f>IF(A836="","",COUNTIF('Input Barang'!$B$2:$B$1000,A836))</f>
      </c>
      <c r="C836" s="4">
        <f>IF(A836="","",COUNTIF('Output Agus'!$B$2:$B$1000,A836))</f>
      </c>
      <c r="D836" s="4">
        <f>IF(A836="","",COUNTIF('Output Rexa'!$B$2:$B$1000,A836))</f>
      </c>
      <c r="E836" s="4">
        <f>IF(A836="","",B836-C836-D836)</f>
      </c>
    </row>
    <row r="837">
      <c r="A837" s="5">
        <f>IFERROR(INDEX('Input Barang'!$B$2:$B$1000,826),"")</f>
      </c>
      <c r="B837" s="4">
        <f>IF(A837="","",COUNTIF('Input Barang'!$B$2:$B$1000,A837))</f>
      </c>
      <c r="C837" s="4">
        <f>IF(A837="","",COUNTIF('Output Agus'!$B$2:$B$1000,A837))</f>
      </c>
      <c r="D837" s="4">
        <f>IF(A837="","",COUNTIF('Output Rexa'!$B$2:$B$1000,A837))</f>
      </c>
      <c r="E837" s="4">
        <f>IF(A837="","",B837-C837-D837)</f>
      </c>
    </row>
    <row r="838">
      <c r="A838" s="5">
        <f>IFERROR(INDEX('Input Barang'!$B$2:$B$1000,827),"")</f>
      </c>
      <c r="B838" s="4">
        <f>IF(A838="","",COUNTIF('Input Barang'!$B$2:$B$1000,A838))</f>
      </c>
      <c r="C838" s="4">
        <f>IF(A838="","",COUNTIF('Output Agus'!$B$2:$B$1000,A838))</f>
      </c>
      <c r="D838" s="4">
        <f>IF(A838="","",COUNTIF('Output Rexa'!$B$2:$B$1000,A838))</f>
      </c>
      <c r="E838" s="4">
        <f>IF(A838="","",B838-C838-D838)</f>
      </c>
    </row>
    <row r="839">
      <c r="A839" s="5">
        <f>IFERROR(INDEX('Input Barang'!$B$2:$B$1000,828),"")</f>
      </c>
      <c r="B839" s="4">
        <f>IF(A839="","",COUNTIF('Input Barang'!$B$2:$B$1000,A839))</f>
      </c>
      <c r="C839" s="4">
        <f>IF(A839="","",COUNTIF('Output Agus'!$B$2:$B$1000,A839))</f>
      </c>
      <c r="D839" s="4">
        <f>IF(A839="","",COUNTIF('Output Rexa'!$B$2:$B$1000,A839))</f>
      </c>
      <c r="E839" s="4">
        <f>IF(A839="","",B839-C839-D839)</f>
      </c>
    </row>
    <row r="840">
      <c r="A840" s="5">
        <f>IFERROR(INDEX('Input Barang'!$B$2:$B$1000,829),"")</f>
      </c>
      <c r="B840" s="4">
        <f>IF(A840="","",COUNTIF('Input Barang'!$B$2:$B$1000,A840))</f>
      </c>
      <c r="C840" s="4">
        <f>IF(A840="","",COUNTIF('Output Agus'!$B$2:$B$1000,A840))</f>
      </c>
      <c r="D840" s="4">
        <f>IF(A840="","",COUNTIF('Output Rexa'!$B$2:$B$1000,A840))</f>
      </c>
      <c r="E840" s="4">
        <f>IF(A840="","",B840-C840-D840)</f>
      </c>
    </row>
    <row r="841">
      <c r="A841" s="5">
        <f>IFERROR(INDEX('Input Barang'!$B$2:$B$1000,830),"")</f>
      </c>
      <c r="B841" s="4">
        <f>IF(A841="","",COUNTIF('Input Barang'!$B$2:$B$1000,A841))</f>
      </c>
      <c r="C841" s="4">
        <f>IF(A841="","",COUNTIF('Output Agus'!$B$2:$B$1000,A841))</f>
      </c>
      <c r="D841" s="4">
        <f>IF(A841="","",COUNTIF('Output Rexa'!$B$2:$B$1000,A841))</f>
      </c>
      <c r="E841" s="4">
        <f>IF(A841="","",B841-C841-D841)</f>
      </c>
    </row>
    <row r="842">
      <c r="A842" s="5">
        <f>IFERROR(INDEX('Input Barang'!$B$2:$B$1000,831),"")</f>
      </c>
      <c r="B842" s="4">
        <f>IF(A842="","",COUNTIF('Input Barang'!$B$2:$B$1000,A842))</f>
      </c>
      <c r="C842" s="4">
        <f>IF(A842="","",COUNTIF('Output Agus'!$B$2:$B$1000,A842))</f>
      </c>
      <c r="D842" s="4">
        <f>IF(A842="","",COUNTIF('Output Rexa'!$B$2:$B$1000,A842))</f>
      </c>
      <c r="E842" s="4">
        <f>IF(A842="","",B842-C842-D842)</f>
      </c>
    </row>
    <row r="843">
      <c r="A843" s="5">
        <f>IFERROR(INDEX('Input Barang'!$B$2:$B$1000,832),"")</f>
      </c>
      <c r="B843" s="4">
        <f>IF(A843="","",COUNTIF('Input Barang'!$B$2:$B$1000,A843))</f>
      </c>
      <c r="C843" s="4">
        <f>IF(A843="","",COUNTIF('Output Agus'!$B$2:$B$1000,A843))</f>
      </c>
      <c r="D843" s="4">
        <f>IF(A843="","",COUNTIF('Output Rexa'!$B$2:$B$1000,A843))</f>
      </c>
      <c r="E843" s="4">
        <f>IF(A843="","",B843-C843-D843)</f>
      </c>
    </row>
    <row r="844">
      <c r="A844" s="5">
        <f>IFERROR(INDEX('Input Barang'!$B$2:$B$1000,833),"")</f>
      </c>
      <c r="B844" s="4">
        <f>IF(A844="","",COUNTIF('Input Barang'!$B$2:$B$1000,A844))</f>
      </c>
      <c r="C844" s="4">
        <f>IF(A844="","",COUNTIF('Output Agus'!$B$2:$B$1000,A844))</f>
      </c>
      <c r="D844" s="4">
        <f>IF(A844="","",COUNTIF('Output Rexa'!$B$2:$B$1000,A844))</f>
      </c>
      <c r="E844" s="4">
        <f>IF(A844="","",B844-C844-D844)</f>
      </c>
    </row>
    <row r="845">
      <c r="A845" s="5">
        <f>IFERROR(INDEX('Input Barang'!$B$2:$B$1000,834),"")</f>
      </c>
      <c r="B845" s="4">
        <f>IF(A845="","",COUNTIF('Input Barang'!$B$2:$B$1000,A845))</f>
      </c>
      <c r="C845" s="4">
        <f>IF(A845="","",COUNTIF('Output Agus'!$B$2:$B$1000,A845))</f>
      </c>
      <c r="D845" s="4">
        <f>IF(A845="","",COUNTIF('Output Rexa'!$B$2:$B$1000,A845))</f>
      </c>
      <c r="E845" s="4">
        <f>IF(A845="","",B845-C845-D845)</f>
      </c>
    </row>
    <row r="846">
      <c r="A846" s="5">
        <f>IFERROR(INDEX('Input Barang'!$B$2:$B$1000,835),"")</f>
      </c>
      <c r="B846" s="4">
        <f>IF(A846="","",COUNTIF('Input Barang'!$B$2:$B$1000,A846))</f>
      </c>
      <c r="C846" s="4">
        <f>IF(A846="","",COUNTIF('Output Agus'!$B$2:$B$1000,A846))</f>
      </c>
      <c r="D846" s="4">
        <f>IF(A846="","",COUNTIF('Output Rexa'!$B$2:$B$1000,A846))</f>
      </c>
      <c r="E846" s="4">
        <f>IF(A846="","",B846-C846-D846)</f>
      </c>
    </row>
    <row r="847">
      <c r="A847" s="5">
        <f>IFERROR(INDEX('Input Barang'!$B$2:$B$1000,836),"")</f>
      </c>
      <c r="B847" s="4">
        <f>IF(A847="","",COUNTIF('Input Barang'!$B$2:$B$1000,A847))</f>
      </c>
      <c r="C847" s="4">
        <f>IF(A847="","",COUNTIF('Output Agus'!$B$2:$B$1000,A847))</f>
      </c>
      <c r="D847" s="4">
        <f>IF(A847="","",COUNTIF('Output Rexa'!$B$2:$B$1000,A847))</f>
      </c>
      <c r="E847" s="4">
        <f>IF(A847="","",B847-C847-D847)</f>
      </c>
    </row>
    <row r="848">
      <c r="A848" s="5">
        <f>IFERROR(INDEX('Input Barang'!$B$2:$B$1000,837),"")</f>
      </c>
      <c r="B848" s="4">
        <f>IF(A848="","",COUNTIF('Input Barang'!$B$2:$B$1000,A848))</f>
      </c>
      <c r="C848" s="4">
        <f>IF(A848="","",COUNTIF('Output Agus'!$B$2:$B$1000,A848))</f>
      </c>
      <c r="D848" s="4">
        <f>IF(A848="","",COUNTIF('Output Rexa'!$B$2:$B$1000,A848))</f>
      </c>
      <c r="E848" s="4">
        <f>IF(A848="","",B848-C848-D848)</f>
      </c>
    </row>
    <row r="849">
      <c r="A849" s="5">
        <f>IFERROR(INDEX('Input Barang'!$B$2:$B$1000,838),"")</f>
      </c>
      <c r="B849" s="4">
        <f>IF(A849="","",COUNTIF('Input Barang'!$B$2:$B$1000,A849))</f>
      </c>
      <c r="C849" s="4">
        <f>IF(A849="","",COUNTIF('Output Agus'!$B$2:$B$1000,A849))</f>
      </c>
      <c r="D849" s="4">
        <f>IF(A849="","",COUNTIF('Output Rexa'!$B$2:$B$1000,A849))</f>
      </c>
      <c r="E849" s="4">
        <f>IF(A849="","",B849-C849-D849)</f>
      </c>
    </row>
    <row r="850">
      <c r="A850" s="5">
        <f>IFERROR(INDEX('Input Barang'!$B$2:$B$1000,839),"")</f>
      </c>
      <c r="B850" s="4">
        <f>IF(A850="","",COUNTIF('Input Barang'!$B$2:$B$1000,A850))</f>
      </c>
      <c r="C850" s="4">
        <f>IF(A850="","",COUNTIF('Output Agus'!$B$2:$B$1000,A850))</f>
      </c>
      <c r="D850" s="4">
        <f>IF(A850="","",COUNTIF('Output Rexa'!$B$2:$B$1000,A850))</f>
      </c>
      <c r="E850" s="4">
        <f>IF(A850="","",B850-C850-D850)</f>
      </c>
    </row>
    <row r="851">
      <c r="A851" s="5">
        <f>IFERROR(INDEX('Input Barang'!$B$2:$B$1000,840),"")</f>
      </c>
      <c r="B851" s="4">
        <f>IF(A851="","",COUNTIF('Input Barang'!$B$2:$B$1000,A851))</f>
      </c>
      <c r="C851" s="4">
        <f>IF(A851="","",COUNTIF('Output Agus'!$B$2:$B$1000,A851))</f>
      </c>
      <c r="D851" s="4">
        <f>IF(A851="","",COUNTIF('Output Rexa'!$B$2:$B$1000,A851))</f>
      </c>
      <c r="E851" s="4">
        <f>IF(A851="","",B851-C851-D851)</f>
      </c>
    </row>
    <row r="852">
      <c r="A852" s="5">
        <f>IFERROR(INDEX('Input Barang'!$B$2:$B$1000,841),"")</f>
      </c>
      <c r="B852" s="4">
        <f>IF(A852="","",COUNTIF('Input Barang'!$B$2:$B$1000,A852))</f>
      </c>
      <c r="C852" s="4">
        <f>IF(A852="","",COUNTIF('Output Agus'!$B$2:$B$1000,A852))</f>
      </c>
      <c r="D852" s="4">
        <f>IF(A852="","",COUNTIF('Output Rexa'!$B$2:$B$1000,A852))</f>
      </c>
      <c r="E852" s="4">
        <f>IF(A852="","",B852-C852-D852)</f>
      </c>
    </row>
    <row r="853">
      <c r="A853" s="5">
        <f>IFERROR(INDEX('Input Barang'!$B$2:$B$1000,842),"")</f>
      </c>
      <c r="B853" s="4">
        <f>IF(A853="","",COUNTIF('Input Barang'!$B$2:$B$1000,A853))</f>
      </c>
      <c r="C853" s="4">
        <f>IF(A853="","",COUNTIF('Output Agus'!$B$2:$B$1000,A853))</f>
      </c>
      <c r="D853" s="4">
        <f>IF(A853="","",COUNTIF('Output Rexa'!$B$2:$B$1000,A853))</f>
      </c>
      <c r="E853" s="4">
        <f>IF(A853="","",B853-C853-D853)</f>
      </c>
    </row>
    <row r="854">
      <c r="A854" s="5">
        <f>IFERROR(INDEX('Input Barang'!$B$2:$B$1000,843),"")</f>
      </c>
      <c r="B854" s="4">
        <f>IF(A854="","",COUNTIF('Input Barang'!$B$2:$B$1000,A854))</f>
      </c>
      <c r="C854" s="4">
        <f>IF(A854="","",COUNTIF('Output Agus'!$B$2:$B$1000,A854))</f>
      </c>
      <c r="D854" s="4">
        <f>IF(A854="","",COUNTIF('Output Rexa'!$B$2:$B$1000,A854))</f>
      </c>
      <c r="E854" s="4">
        <f>IF(A854="","",B854-C854-D854)</f>
      </c>
    </row>
    <row r="855">
      <c r="A855" s="5">
        <f>IFERROR(INDEX('Input Barang'!$B$2:$B$1000,844),"")</f>
      </c>
      <c r="B855" s="4">
        <f>IF(A855="","",COUNTIF('Input Barang'!$B$2:$B$1000,A855))</f>
      </c>
      <c r="C855" s="4">
        <f>IF(A855="","",COUNTIF('Output Agus'!$B$2:$B$1000,A855))</f>
      </c>
      <c r="D855" s="4">
        <f>IF(A855="","",COUNTIF('Output Rexa'!$B$2:$B$1000,A855))</f>
      </c>
      <c r="E855" s="4">
        <f>IF(A855="","",B855-C855-D855)</f>
      </c>
    </row>
    <row r="856">
      <c r="A856" s="5">
        <f>IFERROR(INDEX('Input Barang'!$B$2:$B$1000,845),"")</f>
      </c>
      <c r="B856" s="4">
        <f>IF(A856="","",COUNTIF('Input Barang'!$B$2:$B$1000,A856))</f>
      </c>
      <c r="C856" s="4">
        <f>IF(A856="","",COUNTIF('Output Agus'!$B$2:$B$1000,A856))</f>
      </c>
      <c r="D856" s="4">
        <f>IF(A856="","",COUNTIF('Output Rexa'!$B$2:$B$1000,A856))</f>
      </c>
      <c r="E856" s="4">
        <f>IF(A856="","",B856-C856-D856)</f>
      </c>
    </row>
    <row r="857">
      <c r="A857" s="5">
        <f>IFERROR(INDEX('Input Barang'!$B$2:$B$1000,846),"")</f>
      </c>
      <c r="B857" s="4">
        <f>IF(A857="","",COUNTIF('Input Barang'!$B$2:$B$1000,A857))</f>
      </c>
      <c r="C857" s="4">
        <f>IF(A857="","",COUNTIF('Output Agus'!$B$2:$B$1000,A857))</f>
      </c>
      <c r="D857" s="4">
        <f>IF(A857="","",COUNTIF('Output Rexa'!$B$2:$B$1000,A857))</f>
      </c>
      <c r="E857" s="4">
        <f>IF(A857="","",B857-C857-D857)</f>
      </c>
    </row>
    <row r="858">
      <c r="A858" s="5">
        <f>IFERROR(INDEX('Input Barang'!$B$2:$B$1000,847),"")</f>
      </c>
      <c r="B858" s="4">
        <f>IF(A858="","",COUNTIF('Input Barang'!$B$2:$B$1000,A858))</f>
      </c>
      <c r="C858" s="4">
        <f>IF(A858="","",COUNTIF('Output Agus'!$B$2:$B$1000,A858))</f>
      </c>
      <c r="D858" s="4">
        <f>IF(A858="","",COUNTIF('Output Rexa'!$B$2:$B$1000,A858))</f>
      </c>
      <c r="E858" s="4">
        <f>IF(A858="","",B858-C858-D858)</f>
      </c>
    </row>
    <row r="859">
      <c r="A859" s="5">
        <f>IFERROR(INDEX('Input Barang'!$B$2:$B$1000,848),"")</f>
      </c>
      <c r="B859" s="4">
        <f>IF(A859="","",COUNTIF('Input Barang'!$B$2:$B$1000,A859))</f>
      </c>
      <c r="C859" s="4">
        <f>IF(A859="","",COUNTIF('Output Agus'!$B$2:$B$1000,A859))</f>
      </c>
      <c r="D859" s="4">
        <f>IF(A859="","",COUNTIF('Output Rexa'!$B$2:$B$1000,A859))</f>
      </c>
      <c r="E859" s="4">
        <f>IF(A859="","",B859-C859-D859)</f>
      </c>
    </row>
    <row r="860">
      <c r="A860" s="5">
        <f>IFERROR(INDEX('Input Barang'!$B$2:$B$1000,849),"")</f>
      </c>
      <c r="B860" s="4">
        <f>IF(A860="","",COUNTIF('Input Barang'!$B$2:$B$1000,A860))</f>
      </c>
      <c r="C860" s="4">
        <f>IF(A860="","",COUNTIF('Output Agus'!$B$2:$B$1000,A860))</f>
      </c>
      <c r="D860" s="4">
        <f>IF(A860="","",COUNTIF('Output Rexa'!$B$2:$B$1000,A860))</f>
      </c>
      <c r="E860" s="4">
        <f>IF(A860="","",B860-C860-D860)</f>
      </c>
    </row>
    <row r="861">
      <c r="A861" s="5">
        <f>IFERROR(INDEX('Input Barang'!$B$2:$B$1000,850),"")</f>
      </c>
      <c r="B861" s="4">
        <f>IF(A861="","",COUNTIF('Input Barang'!$B$2:$B$1000,A861))</f>
      </c>
      <c r="C861" s="4">
        <f>IF(A861="","",COUNTIF('Output Agus'!$B$2:$B$1000,A861))</f>
      </c>
      <c r="D861" s="4">
        <f>IF(A861="","",COUNTIF('Output Rexa'!$B$2:$B$1000,A861))</f>
      </c>
      <c r="E861" s="4">
        <f>IF(A861="","",B861-C861-D861)</f>
      </c>
    </row>
    <row r="862">
      <c r="A862" s="5">
        <f>IFERROR(INDEX('Input Barang'!$B$2:$B$1000,851),"")</f>
      </c>
      <c r="B862" s="4">
        <f>IF(A862="","",COUNTIF('Input Barang'!$B$2:$B$1000,A862))</f>
      </c>
      <c r="C862" s="4">
        <f>IF(A862="","",COUNTIF('Output Agus'!$B$2:$B$1000,A862))</f>
      </c>
      <c r="D862" s="4">
        <f>IF(A862="","",COUNTIF('Output Rexa'!$B$2:$B$1000,A862))</f>
      </c>
      <c r="E862" s="4">
        <f>IF(A862="","",B862-C862-D862)</f>
      </c>
    </row>
    <row r="863">
      <c r="A863" s="5">
        <f>IFERROR(INDEX('Input Barang'!$B$2:$B$1000,852),"")</f>
      </c>
      <c r="B863" s="4">
        <f>IF(A863="","",COUNTIF('Input Barang'!$B$2:$B$1000,A863))</f>
      </c>
      <c r="C863" s="4">
        <f>IF(A863="","",COUNTIF('Output Agus'!$B$2:$B$1000,A863))</f>
      </c>
      <c r="D863" s="4">
        <f>IF(A863="","",COUNTIF('Output Rexa'!$B$2:$B$1000,A863))</f>
      </c>
      <c r="E863" s="4">
        <f>IF(A863="","",B863-C863-D863)</f>
      </c>
    </row>
    <row r="864">
      <c r="A864" s="5">
        <f>IFERROR(INDEX('Input Barang'!$B$2:$B$1000,853),"")</f>
      </c>
      <c r="B864" s="4">
        <f>IF(A864="","",COUNTIF('Input Barang'!$B$2:$B$1000,A864))</f>
      </c>
      <c r="C864" s="4">
        <f>IF(A864="","",COUNTIF('Output Agus'!$B$2:$B$1000,A864))</f>
      </c>
      <c r="D864" s="4">
        <f>IF(A864="","",COUNTIF('Output Rexa'!$B$2:$B$1000,A864))</f>
      </c>
      <c r="E864" s="4">
        <f>IF(A864="","",B864-C864-D864)</f>
      </c>
    </row>
    <row r="865">
      <c r="A865" s="5">
        <f>IFERROR(INDEX('Input Barang'!$B$2:$B$1000,854),"")</f>
      </c>
      <c r="B865" s="4">
        <f>IF(A865="","",COUNTIF('Input Barang'!$B$2:$B$1000,A865))</f>
      </c>
      <c r="C865" s="4">
        <f>IF(A865="","",COUNTIF('Output Agus'!$B$2:$B$1000,A865))</f>
      </c>
      <c r="D865" s="4">
        <f>IF(A865="","",COUNTIF('Output Rexa'!$B$2:$B$1000,A865))</f>
      </c>
      <c r="E865" s="4">
        <f>IF(A865="","",B865-C865-D865)</f>
      </c>
    </row>
    <row r="866">
      <c r="A866" s="5">
        <f>IFERROR(INDEX('Input Barang'!$B$2:$B$1000,855),"")</f>
      </c>
      <c r="B866" s="4">
        <f>IF(A866="","",COUNTIF('Input Barang'!$B$2:$B$1000,A866))</f>
      </c>
      <c r="C866" s="4">
        <f>IF(A866="","",COUNTIF('Output Agus'!$B$2:$B$1000,A866))</f>
      </c>
      <c r="D866" s="4">
        <f>IF(A866="","",COUNTIF('Output Rexa'!$B$2:$B$1000,A866))</f>
      </c>
      <c r="E866" s="4">
        <f>IF(A866="","",B866-C866-D866)</f>
      </c>
    </row>
    <row r="867">
      <c r="A867" s="5">
        <f>IFERROR(INDEX('Input Barang'!$B$2:$B$1000,856),"")</f>
      </c>
      <c r="B867" s="4">
        <f>IF(A867="","",COUNTIF('Input Barang'!$B$2:$B$1000,A867))</f>
      </c>
      <c r="C867" s="4">
        <f>IF(A867="","",COUNTIF('Output Agus'!$B$2:$B$1000,A867))</f>
      </c>
      <c r="D867" s="4">
        <f>IF(A867="","",COUNTIF('Output Rexa'!$B$2:$B$1000,A867))</f>
      </c>
      <c r="E867" s="4">
        <f>IF(A867="","",B867-C867-D867)</f>
      </c>
    </row>
    <row r="868">
      <c r="A868" s="5">
        <f>IFERROR(INDEX('Input Barang'!$B$2:$B$1000,857),"")</f>
      </c>
      <c r="B868" s="4">
        <f>IF(A868="","",COUNTIF('Input Barang'!$B$2:$B$1000,A868))</f>
      </c>
      <c r="C868" s="4">
        <f>IF(A868="","",COUNTIF('Output Agus'!$B$2:$B$1000,A868))</f>
      </c>
      <c r="D868" s="4">
        <f>IF(A868="","",COUNTIF('Output Rexa'!$B$2:$B$1000,A868))</f>
      </c>
      <c r="E868" s="4">
        <f>IF(A868="","",B868-C868-D868)</f>
      </c>
    </row>
    <row r="869">
      <c r="A869" s="5">
        <f>IFERROR(INDEX('Input Barang'!$B$2:$B$1000,858),"")</f>
      </c>
      <c r="B869" s="4">
        <f>IF(A869="","",COUNTIF('Input Barang'!$B$2:$B$1000,A869))</f>
      </c>
      <c r="C869" s="4">
        <f>IF(A869="","",COUNTIF('Output Agus'!$B$2:$B$1000,A869))</f>
      </c>
      <c r="D869" s="4">
        <f>IF(A869="","",COUNTIF('Output Rexa'!$B$2:$B$1000,A869))</f>
      </c>
      <c r="E869" s="4">
        <f>IF(A869="","",B869-C869-D869)</f>
      </c>
    </row>
    <row r="870">
      <c r="A870" s="5">
        <f>IFERROR(INDEX('Input Barang'!$B$2:$B$1000,859),"")</f>
      </c>
      <c r="B870" s="4">
        <f>IF(A870="","",COUNTIF('Input Barang'!$B$2:$B$1000,A870))</f>
      </c>
      <c r="C870" s="4">
        <f>IF(A870="","",COUNTIF('Output Agus'!$B$2:$B$1000,A870))</f>
      </c>
      <c r="D870" s="4">
        <f>IF(A870="","",COUNTIF('Output Rexa'!$B$2:$B$1000,A870))</f>
      </c>
      <c r="E870" s="4">
        <f>IF(A870="","",B870-C870-D870)</f>
      </c>
    </row>
    <row r="871">
      <c r="A871" s="5">
        <f>IFERROR(INDEX('Input Barang'!$B$2:$B$1000,860),"")</f>
      </c>
      <c r="B871" s="4">
        <f>IF(A871="","",COUNTIF('Input Barang'!$B$2:$B$1000,A871))</f>
      </c>
      <c r="C871" s="4">
        <f>IF(A871="","",COUNTIF('Output Agus'!$B$2:$B$1000,A871))</f>
      </c>
      <c r="D871" s="4">
        <f>IF(A871="","",COUNTIF('Output Rexa'!$B$2:$B$1000,A871))</f>
      </c>
      <c r="E871" s="4">
        <f>IF(A871="","",B871-C871-D871)</f>
      </c>
    </row>
    <row r="872">
      <c r="A872" s="5">
        <f>IFERROR(INDEX('Input Barang'!$B$2:$B$1000,861),"")</f>
      </c>
      <c r="B872" s="4">
        <f>IF(A872="","",COUNTIF('Input Barang'!$B$2:$B$1000,A872))</f>
      </c>
      <c r="C872" s="4">
        <f>IF(A872="","",COUNTIF('Output Agus'!$B$2:$B$1000,A872))</f>
      </c>
      <c r="D872" s="4">
        <f>IF(A872="","",COUNTIF('Output Rexa'!$B$2:$B$1000,A872))</f>
      </c>
      <c r="E872" s="4">
        <f>IF(A872="","",B872-C872-D872)</f>
      </c>
    </row>
    <row r="873">
      <c r="A873" s="5">
        <f>IFERROR(INDEX('Input Barang'!$B$2:$B$1000,862),"")</f>
      </c>
      <c r="B873" s="4">
        <f>IF(A873="","",COUNTIF('Input Barang'!$B$2:$B$1000,A873))</f>
      </c>
      <c r="C873" s="4">
        <f>IF(A873="","",COUNTIF('Output Agus'!$B$2:$B$1000,A873))</f>
      </c>
      <c r="D873" s="4">
        <f>IF(A873="","",COUNTIF('Output Rexa'!$B$2:$B$1000,A873))</f>
      </c>
      <c r="E873" s="4">
        <f>IF(A873="","",B873-C873-D873)</f>
      </c>
    </row>
    <row r="874">
      <c r="A874" s="5">
        <f>IFERROR(INDEX('Input Barang'!$B$2:$B$1000,863),"")</f>
      </c>
      <c r="B874" s="4">
        <f>IF(A874="","",COUNTIF('Input Barang'!$B$2:$B$1000,A874))</f>
      </c>
      <c r="C874" s="4">
        <f>IF(A874="","",COUNTIF('Output Agus'!$B$2:$B$1000,A874))</f>
      </c>
      <c r="D874" s="4">
        <f>IF(A874="","",COUNTIF('Output Rexa'!$B$2:$B$1000,A874))</f>
      </c>
      <c r="E874" s="4">
        <f>IF(A874="","",B874-C874-D874)</f>
      </c>
    </row>
    <row r="875">
      <c r="A875" s="5">
        <f>IFERROR(INDEX('Input Barang'!$B$2:$B$1000,864),"")</f>
      </c>
      <c r="B875" s="4">
        <f>IF(A875="","",COUNTIF('Input Barang'!$B$2:$B$1000,A875))</f>
      </c>
      <c r="C875" s="4">
        <f>IF(A875="","",COUNTIF('Output Agus'!$B$2:$B$1000,A875))</f>
      </c>
      <c r="D875" s="4">
        <f>IF(A875="","",COUNTIF('Output Rexa'!$B$2:$B$1000,A875))</f>
      </c>
      <c r="E875" s="4">
        <f>IF(A875="","",B875-C875-D875)</f>
      </c>
    </row>
    <row r="876">
      <c r="A876" s="5">
        <f>IFERROR(INDEX('Input Barang'!$B$2:$B$1000,865),"")</f>
      </c>
      <c r="B876" s="4">
        <f>IF(A876="","",COUNTIF('Input Barang'!$B$2:$B$1000,A876))</f>
      </c>
      <c r="C876" s="4">
        <f>IF(A876="","",COUNTIF('Output Agus'!$B$2:$B$1000,A876))</f>
      </c>
      <c r="D876" s="4">
        <f>IF(A876="","",COUNTIF('Output Rexa'!$B$2:$B$1000,A876))</f>
      </c>
      <c r="E876" s="4">
        <f>IF(A876="","",B876-C876-D876)</f>
      </c>
    </row>
    <row r="877">
      <c r="A877" s="5">
        <f>IFERROR(INDEX('Input Barang'!$B$2:$B$1000,866),"")</f>
      </c>
      <c r="B877" s="4">
        <f>IF(A877="","",COUNTIF('Input Barang'!$B$2:$B$1000,A877))</f>
      </c>
      <c r="C877" s="4">
        <f>IF(A877="","",COUNTIF('Output Agus'!$B$2:$B$1000,A877))</f>
      </c>
      <c r="D877" s="4">
        <f>IF(A877="","",COUNTIF('Output Rexa'!$B$2:$B$1000,A877))</f>
      </c>
      <c r="E877" s="4">
        <f>IF(A877="","",B877-C877-D877)</f>
      </c>
    </row>
    <row r="878">
      <c r="A878" s="5">
        <f>IFERROR(INDEX('Input Barang'!$B$2:$B$1000,867),"")</f>
      </c>
      <c r="B878" s="4">
        <f>IF(A878="","",COUNTIF('Input Barang'!$B$2:$B$1000,A878))</f>
      </c>
      <c r="C878" s="4">
        <f>IF(A878="","",COUNTIF('Output Agus'!$B$2:$B$1000,A878))</f>
      </c>
      <c r="D878" s="4">
        <f>IF(A878="","",COUNTIF('Output Rexa'!$B$2:$B$1000,A878))</f>
      </c>
      <c r="E878" s="4">
        <f>IF(A878="","",B878-C878-D878)</f>
      </c>
    </row>
    <row r="879">
      <c r="A879" s="5">
        <f>IFERROR(INDEX('Input Barang'!$B$2:$B$1000,868),"")</f>
      </c>
      <c r="B879" s="4">
        <f>IF(A879="","",COUNTIF('Input Barang'!$B$2:$B$1000,A879))</f>
      </c>
      <c r="C879" s="4">
        <f>IF(A879="","",COUNTIF('Output Agus'!$B$2:$B$1000,A879))</f>
      </c>
      <c r="D879" s="4">
        <f>IF(A879="","",COUNTIF('Output Rexa'!$B$2:$B$1000,A879))</f>
      </c>
      <c r="E879" s="4">
        <f>IF(A879="","",B879-C879-D879)</f>
      </c>
    </row>
    <row r="880">
      <c r="A880" s="5">
        <f>IFERROR(INDEX('Input Barang'!$B$2:$B$1000,869),"")</f>
      </c>
      <c r="B880" s="4">
        <f>IF(A880="","",COUNTIF('Input Barang'!$B$2:$B$1000,A880))</f>
      </c>
      <c r="C880" s="4">
        <f>IF(A880="","",COUNTIF('Output Agus'!$B$2:$B$1000,A880))</f>
      </c>
      <c r="D880" s="4">
        <f>IF(A880="","",COUNTIF('Output Rexa'!$B$2:$B$1000,A880))</f>
      </c>
      <c r="E880" s="4">
        <f>IF(A880="","",B880-C880-D880)</f>
      </c>
    </row>
    <row r="881">
      <c r="A881" s="5">
        <f>IFERROR(INDEX('Input Barang'!$B$2:$B$1000,870),"")</f>
      </c>
      <c r="B881" s="4">
        <f>IF(A881="","",COUNTIF('Input Barang'!$B$2:$B$1000,A881))</f>
      </c>
      <c r="C881" s="4">
        <f>IF(A881="","",COUNTIF('Output Agus'!$B$2:$B$1000,A881))</f>
      </c>
      <c r="D881" s="4">
        <f>IF(A881="","",COUNTIF('Output Rexa'!$B$2:$B$1000,A881))</f>
      </c>
      <c r="E881" s="4">
        <f>IF(A881="","",B881-C881-D881)</f>
      </c>
    </row>
    <row r="882">
      <c r="A882" s="5">
        <f>IFERROR(INDEX('Input Barang'!$B$2:$B$1000,871),"")</f>
      </c>
      <c r="B882" s="4">
        <f>IF(A882="","",COUNTIF('Input Barang'!$B$2:$B$1000,A882))</f>
      </c>
      <c r="C882" s="4">
        <f>IF(A882="","",COUNTIF('Output Agus'!$B$2:$B$1000,A882))</f>
      </c>
      <c r="D882" s="4">
        <f>IF(A882="","",COUNTIF('Output Rexa'!$B$2:$B$1000,A882))</f>
      </c>
      <c r="E882" s="4">
        <f>IF(A882="","",B882-C882-D882)</f>
      </c>
    </row>
    <row r="883">
      <c r="A883" s="5">
        <f>IFERROR(INDEX('Input Barang'!$B$2:$B$1000,872),"")</f>
      </c>
      <c r="B883" s="4">
        <f>IF(A883="","",COUNTIF('Input Barang'!$B$2:$B$1000,A883))</f>
      </c>
      <c r="C883" s="4">
        <f>IF(A883="","",COUNTIF('Output Agus'!$B$2:$B$1000,A883))</f>
      </c>
      <c r="D883" s="4">
        <f>IF(A883="","",COUNTIF('Output Rexa'!$B$2:$B$1000,A883))</f>
      </c>
      <c r="E883" s="4">
        <f>IF(A883="","",B883-C883-D883)</f>
      </c>
    </row>
    <row r="884">
      <c r="A884" s="5">
        <f>IFERROR(INDEX('Input Barang'!$B$2:$B$1000,873),"")</f>
      </c>
      <c r="B884" s="4">
        <f>IF(A884="","",COUNTIF('Input Barang'!$B$2:$B$1000,A884))</f>
      </c>
      <c r="C884" s="4">
        <f>IF(A884="","",COUNTIF('Output Agus'!$B$2:$B$1000,A884))</f>
      </c>
      <c r="D884" s="4">
        <f>IF(A884="","",COUNTIF('Output Rexa'!$B$2:$B$1000,A884))</f>
      </c>
      <c r="E884" s="4">
        <f>IF(A884="","",B884-C884-D884)</f>
      </c>
    </row>
    <row r="885">
      <c r="A885" s="5">
        <f>IFERROR(INDEX('Input Barang'!$B$2:$B$1000,874),"")</f>
      </c>
      <c r="B885" s="4">
        <f>IF(A885="","",COUNTIF('Input Barang'!$B$2:$B$1000,A885))</f>
      </c>
      <c r="C885" s="4">
        <f>IF(A885="","",COUNTIF('Output Agus'!$B$2:$B$1000,A885))</f>
      </c>
      <c r="D885" s="4">
        <f>IF(A885="","",COUNTIF('Output Rexa'!$B$2:$B$1000,A885))</f>
      </c>
      <c r="E885" s="4">
        <f>IF(A885="","",B885-C885-D885)</f>
      </c>
    </row>
    <row r="886">
      <c r="A886" s="5">
        <f>IFERROR(INDEX('Input Barang'!$B$2:$B$1000,875),"")</f>
      </c>
      <c r="B886" s="4">
        <f>IF(A886="","",COUNTIF('Input Barang'!$B$2:$B$1000,A886))</f>
      </c>
      <c r="C886" s="4">
        <f>IF(A886="","",COUNTIF('Output Agus'!$B$2:$B$1000,A886))</f>
      </c>
      <c r="D886" s="4">
        <f>IF(A886="","",COUNTIF('Output Rexa'!$B$2:$B$1000,A886))</f>
      </c>
      <c r="E886" s="4">
        <f>IF(A886="","",B886-C886-D886)</f>
      </c>
    </row>
    <row r="887">
      <c r="A887" s="5">
        <f>IFERROR(INDEX('Input Barang'!$B$2:$B$1000,876),"")</f>
      </c>
      <c r="B887" s="4">
        <f>IF(A887="","",COUNTIF('Input Barang'!$B$2:$B$1000,A887))</f>
      </c>
      <c r="C887" s="4">
        <f>IF(A887="","",COUNTIF('Output Agus'!$B$2:$B$1000,A887))</f>
      </c>
      <c r="D887" s="4">
        <f>IF(A887="","",COUNTIF('Output Rexa'!$B$2:$B$1000,A887))</f>
      </c>
      <c r="E887" s="4">
        <f>IF(A887="","",B887-C887-D887)</f>
      </c>
    </row>
    <row r="888">
      <c r="A888" s="5">
        <f>IFERROR(INDEX('Input Barang'!$B$2:$B$1000,877),"")</f>
      </c>
      <c r="B888" s="4">
        <f>IF(A888="","",COUNTIF('Input Barang'!$B$2:$B$1000,A888))</f>
      </c>
      <c r="C888" s="4">
        <f>IF(A888="","",COUNTIF('Output Agus'!$B$2:$B$1000,A888))</f>
      </c>
      <c r="D888" s="4">
        <f>IF(A888="","",COUNTIF('Output Rexa'!$B$2:$B$1000,A888))</f>
      </c>
      <c r="E888" s="4">
        <f>IF(A888="","",B888-C888-D888)</f>
      </c>
    </row>
    <row r="889">
      <c r="A889" s="5">
        <f>IFERROR(INDEX('Input Barang'!$B$2:$B$1000,878),"")</f>
      </c>
      <c r="B889" s="4">
        <f>IF(A889="","",COUNTIF('Input Barang'!$B$2:$B$1000,A889))</f>
      </c>
      <c r="C889" s="4">
        <f>IF(A889="","",COUNTIF('Output Agus'!$B$2:$B$1000,A889))</f>
      </c>
      <c r="D889" s="4">
        <f>IF(A889="","",COUNTIF('Output Rexa'!$B$2:$B$1000,A889))</f>
      </c>
      <c r="E889" s="4">
        <f>IF(A889="","",B889-C889-D889)</f>
      </c>
    </row>
    <row r="890">
      <c r="A890" s="5">
        <f>IFERROR(INDEX('Input Barang'!$B$2:$B$1000,879),"")</f>
      </c>
      <c r="B890" s="4">
        <f>IF(A890="","",COUNTIF('Input Barang'!$B$2:$B$1000,A890))</f>
      </c>
      <c r="C890" s="4">
        <f>IF(A890="","",COUNTIF('Output Agus'!$B$2:$B$1000,A890))</f>
      </c>
      <c r="D890" s="4">
        <f>IF(A890="","",COUNTIF('Output Rexa'!$B$2:$B$1000,A890))</f>
      </c>
      <c r="E890" s="4">
        <f>IF(A890="","",B890-C890-D890)</f>
      </c>
    </row>
    <row r="891">
      <c r="A891" s="5">
        <f>IFERROR(INDEX('Input Barang'!$B$2:$B$1000,880),"")</f>
      </c>
      <c r="B891" s="4">
        <f>IF(A891="","",COUNTIF('Input Barang'!$B$2:$B$1000,A891))</f>
      </c>
      <c r="C891" s="4">
        <f>IF(A891="","",COUNTIF('Output Agus'!$B$2:$B$1000,A891))</f>
      </c>
      <c r="D891" s="4">
        <f>IF(A891="","",COUNTIF('Output Rexa'!$B$2:$B$1000,A891))</f>
      </c>
      <c r="E891" s="4">
        <f>IF(A891="","",B891-C891-D891)</f>
      </c>
    </row>
    <row r="892">
      <c r="A892" s="5">
        <f>IFERROR(INDEX('Input Barang'!$B$2:$B$1000,881),"")</f>
      </c>
      <c r="B892" s="4">
        <f>IF(A892="","",COUNTIF('Input Barang'!$B$2:$B$1000,A892))</f>
      </c>
      <c r="C892" s="4">
        <f>IF(A892="","",COUNTIF('Output Agus'!$B$2:$B$1000,A892))</f>
      </c>
      <c r="D892" s="4">
        <f>IF(A892="","",COUNTIF('Output Rexa'!$B$2:$B$1000,A892))</f>
      </c>
      <c r="E892" s="4">
        <f>IF(A892="","",B892-C892-D892)</f>
      </c>
    </row>
    <row r="893">
      <c r="A893" s="5">
        <f>IFERROR(INDEX('Input Barang'!$B$2:$B$1000,882),"")</f>
      </c>
      <c r="B893" s="4">
        <f>IF(A893="","",COUNTIF('Input Barang'!$B$2:$B$1000,A893))</f>
      </c>
      <c r="C893" s="4">
        <f>IF(A893="","",COUNTIF('Output Agus'!$B$2:$B$1000,A893))</f>
      </c>
      <c r="D893" s="4">
        <f>IF(A893="","",COUNTIF('Output Rexa'!$B$2:$B$1000,A893))</f>
      </c>
      <c r="E893" s="4">
        <f>IF(A893="","",B893-C893-D893)</f>
      </c>
    </row>
    <row r="894">
      <c r="A894" s="5">
        <f>IFERROR(INDEX('Input Barang'!$B$2:$B$1000,883),"")</f>
      </c>
      <c r="B894" s="4">
        <f>IF(A894="","",COUNTIF('Input Barang'!$B$2:$B$1000,A894))</f>
      </c>
      <c r="C894" s="4">
        <f>IF(A894="","",COUNTIF('Output Agus'!$B$2:$B$1000,A894))</f>
      </c>
      <c r="D894" s="4">
        <f>IF(A894="","",COUNTIF('Output Rexa'!$B$2:$B$1000,A894))</f>
      </c>
      <c r="E894" s="4">
        <f>IF(A894="","",B894-C894-D894)</f>
      </c>
    </row>
    <row r="895">
      <c r="A895" s="5">
        <f>IFERROR(INDEX('Input Barang'!$B$2:$B$1000,884),"")</f>
      </c>
      <c r="B895" s="4">
        <f>IF(A895="","",COUNTIF('Input Barang'!$B$2:$B$1000,A895))</f>
      </c>
      <c r="C895" s="4">
        <f>IF(A895="","",COUNTIF('Output Agus'!$B$2:$B$1000,A895))</f>
      </c>
      <c r="D895" s="4">
        <f>IF(A895="","",COUNTIF('Output Rexa'!$B$2:$B$1000,A895))</f>
      </c>
      <c r="E895" s="4">
        <f>IF(A895="","",B895-C895-D895)</f>
      </c>
    </row>
    <row r="896">
      <c r="A896" s="5">
        <f>IFERROR(INDEX('Input Barang'!$B$2:$B$1000,885),"")</f>
      </c>
      <c r="B896" s="4">
        <f>IF(A896="","",COUNTIF('Input Barang'!$B$2:$B$1000,A896))</f>
      </c>
      <c r="C896" s="4">
        <f>IF(A896="","",COUNTIF('Output Agus'!$B$2:$B$1000,A896))</f>
      </c>
      <c r="D896" s="4">
        <f>IF(A896="","",COUNTIF('Output Rexa'!$B$2:$B$1000,A896))</f>
      </c>
      <c r="E896" s="4">
        <f>IF(A896="","",B896-C896-D896)</f>
      </c>
    </row>
    <row r="897">
      <c r="A897" s="5">
        <f>IFERROR(INDEX('Input Barang'!$B$2:$B$1000,886),"")</f>
      </c>
      <c r="B897" s="4">
        <f>IF(A897="","",COUNTIF('Input Barang'!$B$2:$B$1000,A897))</f>
      </c>
      <c r="C897" s="4">
        <f>IF(A897="","",COUNTIF('Output Agus'!$B$2:$B$1000,A897))</f>
      </c>
      <c r="D897" s="4">
        <f>IF(A897="","",COUNTIF('Output Rexa'!$B$2:$B$1000,A897))</f>
      </c>
      <c r="E897" s="4">
        <f>IF(A897="","",B897-C897-D897)</f>
      </c>
    </row>
    <row r="898">
      <c r="A898" s="5">
        <f>IFERROR(INDEX('Input Barang'!$B$2:$B$1000,887),"")</f>
      </c>
      <c r="B898" s="4">
        <f>IF(A898="","",COUNTIF('Input Barang'!$B$2:$B$1000,A898))</f>
      </c>
      <c r="C898" s="4">
        <f>IF(A898="","",COUNTIF('Output Agus'!$B$2:$B$1000,A898))</f>
      </c>
      <c r="D898" s="4">
        <f>IF(A898="","",COUNTIF('Output Rexa'!$B$2:$B$1000,A898))</f>
      </c>
      <c r="E898" s="4">
        <f>IF(A898="","",B898-C898-D898)</f>
      </c>
    </row>
    <row r="899">
      <c r="A899" s="5">
        <f>IFERROR(INDEX('Input Barang'!$B$2:$B$1000,888),"")</f>
      </c>
      <c r="B899" s="4">
        <f>IF(A899="","",COUNTIF('Input Barang'!$B$2:$B$1000,A899))</f>
      </c>
      <c r="C899" s="4">
        <f>IF(A899="","",COUNTIF('Output Agus'!$B$2:$B$1000,A899))</f>
      </c>
      <c r="D899" s="4">
        <f>IF(A899="","",COUNTIF('Output Rexa'!$B$2:$B$1000,A899))</f>
      </c>
      <c r="E899" s="4">
        <f>IF(A899="","",B899-C899-D899)</f>
      </c>
    </row>
    <row r="900">
      <c r="A900" s="5">
        <f>IFERROR(INDEX('Input Barang'!$B$2:$B$1000,889),"")</f>
      </c>
      <c r="B900" s="4">
        <f>IF(A900="","",COUNTIF('Input Barang'!$B$2:$B$1000,A900))</f>
      </c>
      <c r="C900" s="4">
        <f>IF(A900="","",COUNTIF('Output Agus'!$B$2:$B$1000,A900))</f>
      </c>
      <c r="D900" s="4">
        <f>IF(A900="","",COUNTIF('Output Rexa'!$B$2:$B$1000,A900))</f>
      </c>
      <c r="E900" s="4">
        <f>IF(A900="","",B900-C900-D900)</f>
      </c>
    </row>
    <row r="901">
      <c r="A901" s="5">
        <f>IFERROR(INDEX('Input Barang'!$B$2:$B$1000,890),"")</f>
      </c>
      <c r="B901" s="4">
        <f>IF(A901="","",COUNTIF('Input Barang'!$B$2:$B$1000,A901))</f>
      </c>
      <c r="C901" s="4">
        <f>IF(A901="","",COUNTIF('Output Agus'!$B$2:$B$1000,A901))</f>
      </c>
      <c r="D901" s="4">
        <f>IF(A901="","",COUNTIF('Output Rexa'!$B$2:$B$1000,A901))</f>
      </c>
      <c r="E901" s="4">
        <f>IF(A901="","",B901-C901-D901)</f>
      </c>
    </row>
    <row r="902">
      <c r="A902" s="5">
        <f>IFERROR(INDEX('Input Barang'!$B$2:$B$1000,891),"")</f>
      </c>
      <c r="B902" s="4">
        <f>IF(A902="","",COUNTIF('Input Barang'!$B$2:$B$1000,A902))</f>
      </c>
      <c r="C902" s="4">
        <f>IF(A902="","",COUNTIF('Output Agus'!$B$2:$B$1000,A902))</f>
      </c>
      <c r="D902" s="4">
        <f>IF(A902="","",COUNTIF('Output Rexa'!$B$2:$B$1000,A902))</f>
      </c>
      <c r="E902" s="4">
        <f>IF(A902="","",B902-C902-D902)</f>
      </c>
    </row>
    <row r="903">
      <c r="A903" s="5">
        <f>IFERROR(INDEX('Input Barang'!$B$2:$B$1000,892),"")</f>
      </c>
      <c r="B903" s="4">
        <f>IF(A903="","",COUNTIF('Input Barang'!$B$2:$B$1000,A903))</f>
      </c>
      <c r="C903" s="4">
        <f>IF(A903="","",COUNTIF('Output Agus'!$B$2:$B$1000,A903))</f>
      </c>
      <c r="D903" s="4">
        <f>IF(A903="","",COUNTIF('Output Rexa'!$B$2:$B$1000,A903))</f>
      </c>
      <c r="E903" s="4">
        <f>IF(A903="","",B903-C903-D903)</f>
      </c>
    </row>
    <row r="904">
      <c r="A904" s="5">
        <f>IFERROR(INDEX('Input Barang'!$B$2:$B$1000,893),"")</f>
      </c>
      <c r="B904" s="4">
        <f>IF(A904="","",COUNTIF('Input Barang'!$B$2:$B$1000,A904))</f>
      </c>
      <c r="C904" s="4">
        <f>IF(A904="","",COUNTIF('Output Agus'!$B$2:$B$1000,A904))</f>
      </c>
      <c r="D904" s="4">
        <f>IF(A904="","",COUNTIF('Output Rexa'!$B$2:$B$1000,A904))</f>
      </c>
      <c r="E904" s="4">
        <f>IF(A904="","",B904-C904-D904)</f>
      </c>
    </row>
    <row r="905">
      <c r="A905" s="5">
        <f>IFERROR(INDEX('Input Barang'!$B$2:$B$1000,894),"")</f>
      </c>
      <c r="B905" s="4">
        <f>IF(A905="","",COUNTIF('Input Barang'!$B$2:$B$1000,A905))</f>
      </c>
      <c r="C905" s="4">
        <f>IF(A905="","",COUNTIF('Output Agus'!$B$2:$B$1000,A905))</f>
      </c>
      <c r="D905" s="4">
        <f>IF(A905="","",COUNTIF('Output Rexa'!$B$2:$B$1000,A905))</f>
      </c>
      <c r="E905" s="4">
        <f>IF(A905="","",B905-C905-D905)</f>
      </c>
    </row>
    <row r="906">
      <c r="A906" s="5">
        <f>IFERROR(INDEX('Input Barang'!$B$2:$B$1000,895),"")</f>
      </c>
      <c r="B906" s="4">
        <f>IF(A906="","",COUNTIF('Input Barang'!$B$2:$B$1000,A906))</f>
      </c>
      <c r="C906" s="4">
        <f>IF(A906="","",COUNTIF('Output Agus'!$B$2:$B$1000,A906))</f>
      </c>
      <c r="D906" s="4">
        <f>IF(A906="","",COUNTIF('Output Rexa'!$B$2:$B$1000,A906))</f>
      </c>
      <c r="E906" s="4">
        <f>IF(A906="","",B906-C906-D906)</f>
      </c>
    </row>
    <row r="907">
      <c r="A907" s="5">
        <f>IFERROR(INDEX('Input Barang'!$B$2:$B$1000,896),"")</f>
      </c>
      <c r="B907" s="4">
        <f>IF(A907="","",COUNTIF('Input Barang'!$B$2:$B$1000,A907))</f>
      </c>
      <c r="C907" s="4">
        <f>IF(A907="","",COUNTIF('Output Agus'!$B$2:$B$1000,A907))</f>
      </c>
      <c r="D907" s="4">
        <f>IF(A907="","",COUNTIF('Output Rexa'!$B$2:$B$1000,A907))</f>
      </c>
      <c r="E907" s="4">
        <f>IF(A907="","",B907-C907-D907)</f>
      </c>
    </row>
    <row r="908">
      <c r="A908" s="5">
        <f>IFERROR(INDEX('Input Barang'!$B$2:$B$1000,897),"")</f>
      </c>
      <c r="B908" s="4">
        <f>IF(A908="","",COUNTIF('Input Barang'!$B$2:$B$1000,A908))</f>
      </c>
      <c r="C908" s="4">
        <f>IF(A908="","",COUNTIF('Output Agus'!$B$2:$B$1000,A908))</f>
      </c>
      <c r="D908" s="4">
        <f>IF(A908="","",COUNTIF('Output Rexa'!$B$2:$B$1000,A908))</f>
      </c>
      <c r="E908" s="4">
        <f>IF(A908="","",B908-C908-D908)</f>
      </c>
    </row>
    <row r="909">
      <c r="A909" s="5">
        <f>IFERROR(INDEX('Input Barang'!$B$2:$B$1000,898),"")</f>
      </c>
      <c r="B909" s="4">
        <f>IF(A909="","",COUNTIF('Input Barang'!$B$2:$B$1000,A909))</f>
      </c>
      <c r="C909" s="4">
        <f>IF(A909="","",COUNTIF('Output Agus'!$B$2:$B$1000,A909))</f>
      </c>
      <c r="D909" s="4">
        <f>IF(A909="","",COUNTIF('Output Rexa'!$B$2:$B$1000,A909))</f>
      </c>
      <c r="E909" s="4">
        <f>IF(A909="","",B909-C909-D909)</f>
      </c>
    </row>
    <row r="910">
      <c r="A910" s="5">
        <f>IFERROR(INDEX('Input Barang'!$B$2:$B$1000,899),"")</f>
      </c>
      <c r="B910" s="4">
        <f>IF(A910="","",COUNTIF('Input Barang'!$B$2:$B$1000,A910))</f>
      </c>
      <c r="C910" s="4">
        <f>IF(A910="","",COUNTIF('Output Agus'!$B$2:$B$1000,A910))</f>
      </c>
      <c r="D910" s="4">
        <f>IF(A910="","",COUNTIF('Output Rexa'!$B$2:$B$1000,A910))</f>
      </c>
      <c r="E910" s="4">
        <f>IF(A910="","",B910-C910-D910)</f>
      </c>
    </row>
    <row r="911">
      <c r="A911" s="5">
        <f>IFERROR(INDEX('Input Barang'!$B$2:$B$1000,900),"")</f>
      </c>
      <c r="B911" s="4">
        <f>IF(A911="","",COUNTIF('Input Barang'!$B$2:$B$1000,A911))</f>
      </c>
      <c r="C911" s="4">
        <f>IF(A911="","",COUNTIF('Output Agus'!$B$2:$B$1000,A911))</f>
      </c>
      <c r="D911" s="4">
        <f>IF(A911="","",COUNTIF('Output Rexa'!$B$2:$B$1000,A911))</f>
      </c>
      <c r="E911" s="4">
        <f>IF(A911="","",B911-C911-D911)</f>
      </c>
    </row>
    <row r="912">
      <c r="A912" s="5">
        <f>IFERROR(INDEX('Input Barang'!$B$2:$B$1000,901),"")</f>
      </c>
      <c r="B912" s="4">
        <f>IF(A912="","",COUNTIF('Input Barang'!$B$2:$B$1000,A912))</f>
      </c>
      <c r="C912" s="4">
        <f>IF(A912="","",COUNTIF('Output Agus'!$B$2:$B$1000,A912))</f>
      </c>
      <c r="D912" s="4">
        <f>IF(A912="","",COUNTIF('Output Rexa'!$B$2:$B$1000,A912))</f>
      </c>
      <c r="E912" s="4">
        <f>IF(A912="","",B912-C912-D912)</f>
      </c>
    </row>
    <row r="913">
      <c r="A913" s="5">
        <f>IFERROR(INDEX('Input Barang'!$B$2:$B$1000,902),"")</f>
      </c>
      <c r="B913" s="4">
        <f>IF(A913="","",COUNTIF('Input Barang'!$B$2:$B$1000,A913))</f>
      </c>
      <c r="C913" s="4">
        <f>IF(A913="","",COUNTIF('Output Agus'!$B$2:$B$1000,A913))</f>
      </c>
      <c r="D913" s="4">
        <f>IF(A913="","",COUNTIF('Output Rexa'!$B$2:$B$1000,A913))</f>
      </c>
      <c r="E913" s="4">
        <f>IF(A913="","",B913-C913-D913)</f>
      </c>
    </row>
    <row r="914">
      <c r="A914" s="5">
        <f>IFERROR(INDEX('Input Barang'!$B$2:$B$1000,903),"")</f>
      </c>
      <c r="B914" s="4">
        <f>IF(A914="","",COUNTIF('Input Barang'!$B$2:$B$1000,A914))</f>
      </c>
      <c r="C914" s="4">
        <f>IF(A914="","",COUNTIF('Output Agus'!$B$2:$B$1000,A914))</f>
      </c>
      <c r="D914" s="4">
        <f>IF(A914="","",COUNTIF('Output Rexa'!$B$2:$B$1000,A914))</f>
      </c>
      <c r="E914" s="4">
        <f>IF(A914="","",B914-C914-D914)</f>
      </c>
    </row>
    <row r="915">
      <c r="A915" s="5">
        <f>IFERROR(INDEX('Input Barang'!$B$2:$B$1000,904),"")</f>
      </c>
      <c r="B915" s="4">
        <f>IF(A915="","",COUNTIF('Input Barang'!$B$2:$B$1000,A915))</f>
      </c>
      <c r="C915" s="4">
        <f>IF(A915="","",COUNTIF('Output Agus'!$B$2:$B$1000,A915))</f>
      </c>
      <c r="D915" s="4">
        <f>IF(A915="","",COUNTIF('Output Rexa'!$B$2:$B$1000,A915))</f>
      </c>
      <c r="E915" s="4">
        <f>IF(A915="","",B915-C915-D915)</f>
      </c>
    </row>
    <row r="916">
      <c r="A916" s="5">
        <f>IFERROR(INDEX('Input Barang'!$B$2:$B$1000,905),"")</f>
      </c>
      <c r="B916" s="4">
        <f>IF(A916="","",COUNTIF('Input Barang'!$B$2:$B$1000,A916))</f>
      </c>
      <c r="C916" s="4">
        <f>IF(A916="","",COUNTIF('Output Agus'!$B$2:$B$1000,A916))</f>
      </c>
      <c r="D916" s="4">
        <f>IF(A916="","",COUNTIF('Output Rexa'!$B$2:$B$1000,A916))</f>
      </c>
      <c r="E916" s="4">
        <f>IF(A916="","",B916-C916-D916)</f>
      </c>
    </row>
    <row r="917">
      <c r="A917" s="5">
        <f>IFERROR(INDEX('Input Barang'!$B$2:$B$1000,906),"")</f>
      </c>
      <c r="B917" s="4">
        <f>IF(A917="","",COUNTIF('Input Barang'!$B$2:$B$1000,A917))</f>
      </c>
      <c r="C917" s="4">
        <f>IF(A917="","",COUNTIF('Output Agus'!$B$2:$B$1000,A917))</f>
      </c>
      <c r="D917" s="4">
        <f>IF(A917="","",COUNTIF('Output Rexa'!$B$2:$B$1000,A917))</f>
      </c>
      <c r="E917" s="4">
        <f>IF(A917="","",B917-C917-D917)</f>
      </c>
    </row>
    <row r="918">
      <c r="A918" s="5">
        <f>IFERROR(INDEX('Input Barang'!$B$2:$B$1000,907),"")</f>
      </c>
      <c r="B918" s="4">
        <f>IF(A918="","",COUNTIF('Input Barang'!$B$2:$B$1000,A918))</f>
      </c>
      <c r="C918" s="4">
        <f>IF(A918="","",COUNTIF('Output Agus'!$B$2:$B$1000,A918))</f>
      </c>
      <c r="D918" s="4">
        <f>IF(A918="","",COUNTIF('Output Rexa'!$B$2:$B$1000,A918))</f>
      </c>
      <c r="E918" s="4">
        <f>IF(A918="","",B918-C918-D918)</f>
      </c>
    </row>
    <row r="919">
      <c r="A919" s="5">
        <f>IFERROR(INDEX('Input Barang'!$B$2:$B$1000,908),"")</f>
      </c>
      <c r="B919" s="4">
        <f>IF(A919="","",COUNTIF('Input Barang'!$B$2:$B$1000,A919))</f>
      </c>
      <c r="C919" s="4">
        <f>IF(A919="","",COUNTIF('Output Agus'!$B$2:$B$1000,A919))</f>
      </c>
      <c r="D919" s="4">
        <f>IF(A919="","",COUNTIF('Output Rexa'!$B$2:$B$1000,A919))</f>
      </c>
      <c r="E919" s="4">
        <f>IF(A919="","",B919-C919-D919)</f>
      </c>
    </row>
    <row r="920">
      <c r="A920" s="5">
        <f>IFERROR(INDEX('Input Barang'!$B$2:$B$1000,909),"")</f>
      </c>
      <c r="B920" s="4">
        <f>IF(A920="","",COUNTIF('Input Barang'!$B$2:$B$1000,A920))</f>
      </c>
      <c r="C920" s="4">
        <f>IF(A920="","",COUNTIF('Output Agus'!$B$2:$B$1000,A920))</f>
      </c>
      <c r="D920" s="4">
        <f>IF(A920="","",COUNTIF('Output Rexa'!$B$2:$B$1000,A920))</f>
      </c>
      <c r="E920" s="4">
        <f>IF(A920="","",B920-C920-D920)</f>
      </c>
    </row>
    <row r="921">
      <c r="A921" s="5">
        <f>IFERROR(INDEX('Input Barang'!$B$2:$B$1000,910),"")</f>
      </c>
      <c r="B921" s="4">
        <f>IF(A921="","",COUNTIF('Input Barang'!$B$2:$B$1000,A921))</f>
      </c>
      <c r="C921" s="4">
        <f>IF(A921="","",COUNTIF('Output Agus'!$B$2:$B$1000,A921))</f>
      </c>
      <c r="D921" s="4">
        <f>IF(A921="","",COUNTIF('Output Rexa'!$B$2:$B$1000,A921))</f>
      </c>
      <c r="E921" s="4">
        <f>IF(A921="","",B921-C921-D921)</f>
      </c>
    </row>
    <row r="922">
      <c r="A922" s="5">
        <f>IFERROR(INDEX('Input Barang'!$B$2:$B$1000,911),"")</f>
      </c>
      <c r="B922" s="4">
        <f>IF(A922="","",COUNTIF('Input Barang'!$B$2:$B$1000,A922))</f>
      </c>
      <c r="C922" s="4">
        <f>IF(A922="","",COUNTIF('Output Agus'!$B$2:$B$1000,A922))</f>
      </c>
      <c r="D922" s="4">
        <f>IF(A922="","",COUNTIF('Output Rexa'!$B$2:$B$1000,A922))</f>
      </c>
      <c r="E922" s="4">
        <f>IF(A922="","",B922-C922-D922)</f>
      </c>
    </row>
    <row r="923">
      <c r="A923" s="5">
        <f>IFERROR(INDEX('Input Barang'!$B$2:$B$1000,912),"")</f>
      </c>
      <c r="B923" s="4">
        <f>IF(A923="","",COUNTIF('Input Barang'!$B$2:$B$1000,A923))</f>
      </c>
      <c r="C923" s="4">
        <f>IF(A923="","",COUNTIF('Output Agus'!$B$2:$B$1000,A923))</f>
      </c>
      <c r="D923" s="4">
        <f>IF(A923="","",COUNTIF('Output Rexa'!$B$2:$B$1000,A923))</f>
      </c>
      <c r="E923" s="4">
        <f>IF(A923="","",B923-C923-D923)</f>
      </c>
    </row>
    <row r="924">
      <c r="A924" s="5">
        <f>IFERROR(INDEX('Input Barang'!$B$2:$B$1000,913),"")</f>
      </c>
      <c r="B924" s="4">
        <f>IF(A924="","",COUNTIF('Input Barang'!$B$2:$B$1000,A924))</f>
      </c>
      <c r="C924" s="4">
        <f>IF(A924="","",COUNTIF('Output Agus'!$B$2:$B$1000,A924))</f>
      </c>
      <c r="D924" s="4">
        <f>IF(A924="","",COUNTIF('Output Rexa'!$B$2:$B$1000,A924))</f>
      </c>
      <c r="E924" s="4">
        <f>IF(A924="","",B924-C924-D924)</f>
      </c>
    </row>
    <row r="925">
      <c r="A925" s="5">
        <f>IFERROR(INDEX('Input Barang'!$B$2:$B$1000,914),"")</f>
      </c>
      <c r="B925" s="4">
        <f>IF(A925="","",COUNTIF('Input Barang'!$B$2:$B$1000,A925))</f>
      </c>
      <c r="C925" s="4">
        <f>IF(A925="","",COUNTIF('Output Agus'!$B$2:$B$1000,A925))</f>
      </c>
      <c r="D925" s="4">
        <f>IF(A925="","",COUNTIF('Output Rexa'!$B$2:$B$1000,A925))</f>
      </c>
      <c r="E925" s="4">
        <f>IF(A925="","",B925-C925-D925)</f>
      </c>
    </row>
    <row r="926">
      <c r="A926" s="5">
        <f>IFERROR(INDEX('Input Barang'!$B$2:$B$1000,915),"")</f>
      </c>
      <c r="B926" s="4">
        <f>IF(A926="","",COUNTIF('Input Barang'!$B$2:$B$1000,A926))</f>
      </c>
      <c r="C926" s="4">
        <f>IF(A926="","",COUNTIF('Output Agus'!$B$2:$B$1000,A926))</f>
      </c>
      <c r="D926" s="4">
        <f>IF(A926="","",COUNTIF('Output Rexa'!$B$2:$B$1000,A926))</f>
      </c>
      <c r="E926" s="4">
        <f>IF(A926="","",B926-C926-D926)</f>
      </c>
    </row>
    <row r="927">
      <c r="A927" s="5">
        <f>IFERROR(INDEX('Input Barang'!$B$2:$B$1000,916),"")</f>
      </c>
      <c r="B927" s="4">
        <f>IF(A927="","",COUNTIF('Input Barang'!$B$2:$B$1000,A927))</f>
      </c>
      <c r="C927" s="4">
        <f>IF(A927="","",COUNTIF('Output Agus'!$B$2:$B$1000,A927))</f>
      </c>
      <c r="D927" s="4">
        <f>IF(A927="","",COUNTIF('Output Rexa'!$B$2:$B$1000,A927))</f>
      </c>
      <c r="E927" s="4">
        <f>IF(A927="","",B927-C927-D927)</f>
      </c>
    </row>
    <row r="928">
      <c r="A928" s="5">
        <f>IFERROR(INDEX('Input Barang'!$B$2:$B$1000,917),"")</f>
      </c>
      <c r="B928" s="4">
        <f>IF(A928="","",COUNTIF('Input Barang'!$B$2:$B$1000,A928))</f>
      </c>
      <c r="C928" s="4">
        <f>IF(A928="","",COUNTIF('Output Agus'!$B$2:$B$1000,A928))</f>
      </c>
      <c r="D928" s="4">
        <f>IF(A928="","",COUNTIF('Output Rexa'!$B$2:$B$1000,A928))</f>
      </c>
      <c r="E928" s="4">
        <f>IF(A928="","",B928-C928-D928)</f>
      </c>
    </row>
    <row r="929">
      <c r="A929" s="5">
        <f>IFERROR(INDEX('Input Barang'!$B$2:$B$1000,918),"")</f>
      </c>
      <c r="B929" s="4">
        <f>IF(A929="","",COUNTIF('Input Barang'!$B$2:$B$1000,A929))</f>
      </c>
      <c r="C929" s="4">
        <f>IF(A929="","",COUNTIF('Output Agus'!$B$2:$B$1000,A929))</f>
      </c>
      <c r="D929" s="4">
        <f>IF(A929="","",COUNTIF('Output Rexa'!$B$2:$B$1000,A929))</f>
      </c>
      <c r="E929" s="4">
        <f>IF(A929="","",B929-C929-D929)</f>
      </c>
    </row>
    <row r="930">
      <c r="A930" s="5">
        <f>IFERROR(INDEX('Input Barang'!$B$2:$B$1000,919),"")</f>
      </c>
      <c r="B930" s="4">
        <f>IF(A930="","",COUNTIF('Input Barang'!$B$2:$B$1000,A930))</f>
      </c>
      <c r="C930" s="4">
        <f>IF(A930="","",COUNTIF('Output Agus'!$B$2:$B$1000,A930))</f>
      </c>
      <c r="D930" s="4">
        <f>IF(A930="","",COUNTIF('Output Rexa'!$B$2:$B$1000,A930))</f>
      </c>
      <c r="E930" s="4">
        <f>IF(A930="","",B930-C930-D930)</f>
      </c>
    </row>
    <row r="931">
      <c r="A931" s="5">
        <f>IFERROR(INDEX('Input Barang'!$B$2:$B$1000,920),"")</f>
      </c>
      <c r="B931" s="4">
        <f>IF(A931="","",COUNTIF('Input Barang'!$B$2:$B$1000,A931))</f>
      </c>
      <c r="C931" s="4">
        <f>IF(A931="","",COUNTIF('Output Agus'!$B$2:$B$1000,A931))</f>
      </c>
      <c r="D931" s="4">
        <f>IF(A931="","",COUNTIF('Output Rexa'!$B$2:$B$1000,A931))</f>
      </c>
      <c r="E931" s="4">
        <f>IF(A931="","",B931-C931-D931)</f>
      </c>
    </row>
    <row r="932">
      <c r="A932" s="5">
        <f>IFERROR(INDEX('Input Barang'!$B$2:$B$1000,921),"")</f>
      </c>
      <c r="B932" s="4">
        <f>IF(A932="","",COUNTIF('Input Barang'!$B$2:$B$1000,A932))</f>
      </c>
      <c r="C932" s="4">
        <f>IF(A932="","",COUNTIF('Output Agus'!$B$2:$B$1000,A932))</f>
      </c>
      <c r="D932" s="4">
        <f>IF(A932="","",COUNTIF('Output Rexa'!$B$2:$B$1000,A932))</f>
      </c>
      <c r="E932" s="4">
        <f>IF(A932="","",B932-C932-D932)</f>
      </c>
    </row>
    <row r="933">
      <c r="A933" s="5">
        <f>IFERROR(INDEX('Input Barang'!$B$2:$B$1000,922),"")</f>
      </c>
      <c r="B933" s="4">
        <f>IF(A933="","",COUNTIF('Input Barang'!$B$2:$B$1000,A933))</f>
      </c>
      <c r="C933" s="4">
        <f>IF(A933="","",COUNTIF('Output Agus'!$B$2:$B$1000,A933))</f>
      </c>
      <c r="D933" s="4">
        <f>IF(A933="","",COUNTIF('Output Rexa'!$B$2:$B$1000,A933))</f>
      </c>
      <c r="E933" s="4">
        <f>IF(A933="","",B933-C933-D933)</f>
      </c>
    </row>
    <row r="934">
      <c r="A934" s="5">
        <f>IFERROR(INDEX('Input Barang'!$B$2:$B$1000,923),"")</f>
      </c>
      <c r="B934" s="4">
        <f>IF(A934="","",COUNTIF('Input Barang'!$B$2:$B$1000,A934))</f>
      </c>
      <c r="C934" s="4">
        <f>IF(A934="","",COUNTIF('Output Agus'!$B$2:$B$1000,A934))</f>
      </c>
      <c r="D934" s="4">
        <f>IF(A934="","",COUNTIF('Output Rexa'!$B$2:$B$1000,A934))</f>
      </c>
      <c r="E934" s="4">
        <f>IF(A934="","",B934-C934-D934)</f>
      </c>
    </row>
    <row r="935">
      <c r="A935" s="5">
        <f>IFERROR(INDEX('Input Barang'!$B$2:$B$1000,924),"")</f>
      </c>
      <c r="B935" s="4">
        <f>IF(A935="","",COUNTIF('Input Barang'!$B$2:$B$1000,A935))</f>
      </c>
      <c r="C935" s="4">
        <f>IF(A935="","",COUNTIF('Output Agus'!$B$2:$B$1000,A935))</f>
      </c>
      <c r="D935" s="4">
        <f>IF(A935="","",COUNTIF('Output Rexa'!$B$2:$B$1000,A935))</f>
      </c>
      <c r="E935" s="4">
        <f>IF(A935="","",B935-C935-D935)</f>
      </c>
    </row>
    <row r="936">
      <c r="A936" s="5">
        <f>IFERROR(INDEX('Input Barang'!$B$2:$B$1000,925),"")</f>
      </c>
      <c r="B936" s="4">
        <f>IF(A936="","",COUNTIF('Input Barang'!$B$2:$B$1000,A936))</f>
      </c>
      <c r="C936" s="4">
        <f>IF(A936="","",COUNTIF('Output Agus'!$B$2:$B$1000,A936))</f>
      </c>
      <c r="D936" s="4">
        <f>IF(A936="","",COUNTIF('Output Rexa'!$B$2:$B$1000,A936))</f>
      </c>
      <c r="E936" s="4">
        <f>IF(A936="","",B936-C936-D936)</f>
      </c>
    </row>
    <row r="937">
      <c r="A937" s="5">
        <f>IFERROR(INDEX('Input Barang'!$B$2:$B$1000,926),"")</f>
      </c>
      <c r="B937" s="4">
        <f>IF(A937="","",COUNTIF('Input Barang'!$B$2:$B$1000,A937))</f>
      </c>
      <c r="C937" s="4">
        <f>IF(A937="","",COUNTIF('Output Agus'!$B$2:$B$1000,A937))</f>
      </c>
      <c r="D937" s="4">
        <f>IF(A937="","",COUNTIF('Output Rexa'!$B$2:$B$1000,A937))</f>
      </c>
      <c r="E937" s="4">
        <f>IF(A937="","",B937-C937-D937)</f>
      </c>
    </row>
    <row r="938">
      <c r="A938" s="5">
        <f>IFERROR(INDEX('Input Barang'!$B$2:$B$1000,927),"")</f>
      </c>
      <c r="B938" s="4">
        <f>IF(A938="","",COUNTIF('Input Barang'!$B$2:$B$1000,A938))</f>
      </c>
      <c r="C938" s="4">
        <f>IF(A938="","",COUNTIF('Output Agus'!$B$2:$B$1000,A938))</f>
      </c>
      <c r="D938" s="4">
        <f>IF(A938="","",COUNTIF('Output Rexa'!$B$2:$B$1000,A938))</f>
      </c>
      <c r="E938" s="4">
        <f>IF(A938="","",B938-C938-D938)</f>
      </c>
    </row>
    <row r="939">
      <c r="A939" s="5">
        <f>IFERROR(INDEX('Input Barang'!$B$2:$B$1000,928),"")</f>
      </c>
      <c r="B939" s="4">
        <f>IF(A939="","",COUNTIF('Input Barang'!$B$2:$B$1000,A939))</f>
      </c>
      <c r="C939" s="4">
        <f>IF(A939="","",COUNTIF('Output Agus'!$B$2:$B$1000,A939))</f>
      </c>
      <c r="D939" s="4">
        <f>IF(A939="","",COUNTIF('Output Rexa'!$B$2:$B$1000,A939))</f>
      </c>
      <c r="E939" s="4">
        <f>IF(A939="","",B939-C939-D939)</f>
      </c>
    </row>
    <row r="940">
      <c r="A940" s="5">
        <f>IFERROR(INDEX('Input Barang'!$B$2:$B$1000,929),"")</f>
      </c>
      <c r="B940" s="4">
        <f>IF(A940="","",COUNTIF('Input Barang'!$B$2:$B$1000,A940))</f>
      </c>
      <c r="C940" s="4">
        <f>IF(A940="","",COUNTIF('Output Agus'!$B$2:$B$1000,A940))</f>
      </c>
      <c r="D940" s="4">
        <f>IF(A940="","",COUNTIF('Output Rexa'!$B$2:$B$1000,A940))</f>
      </c>
      <c r="E940" s="4">
        <f>IF(A940="","",B940-C940-D940)</f>
      </c>
    </row>
    <row r="941">
      <c r="A941" s="5">
        <f>IFERROR(INDEX('Input Barang'!$B$2:$B$1000,930),"")</f>
      </c>
      <c r="B941" s="4">
        <f>IF(A941="","",COUNTIF('Input Barang'!$B$2:$B$1000,A941))</f>
      </c>
      <c r="C941" s="4">
        <f>IF(A941="","",COUNTIF('Output Agus'!$B$2:$B$1000,A941))</f>
      </c>
      <c r="D941" s="4">
        <f>IF(A941="","",COUNTIF('Output Rexa'!$B$2:$B$1000,A941))</f>
      </c>
      <c r="E941" s="4">
        <f>IF(A941="","",B941-C941-D941)</f>
      </c>
    </row>
    <row r="942">
      <c r="A942" s="5">
        <f>IFERROR(INDEX('Input Barang'!$B$2:$B$1000,931),"")</f>
      </c>
      <c r="B942" s="4">
        <f>IF(A942="","",COUNTIF('Input Barang'!$B$2:$B$1000,A942))</f>
      </c>
      <c r="C942" s="4">
        <f>IF(A942="","",COUNTIF('Output Agus'!$B$2:$B$1000,A942))</f>
      </c>
      <c r="D942" s="4">
        <f>IF(A942="","",COUNTIF('Output Rexa'!$B$2:$B$1000,A942))</f>
      </c>
      <c r="E942" s="4">
        <f>IF(A942="","",B942-C942-D942)</f>
      </c>
    </row>
    <row r="943">
      <c r="A943" s="5">
        <f>IFERROR(INDEX('Input Barang'!$B$2:$B$1000,932),"")</f>
      </c>
      <c r="B943" s="4">
        <f>IF(A943="","",COUNTIF('Input Barang'!$B$2:$B$1000,A943))</f>
      </c>
      <c r="C943" s="4">
        <f>IF(A943="","",COUNTIF('Output Agus'!$B$2:$B$1000,A943))</f>
      </c>
      <c r="D943" s="4">
        <f>IF(A943="","",COUNTIF('Output Rexa'!$B$2:$B$1000,A943))</f>
      </c>
      <c r="E943" s="4">
        <f>IF(A943="","",B943-C943-D943)</f>
      </c>
    </row>
    <row r="944">
      <c r="A944" s="5">
        <f>IFERROR(INDEX('Input Barang'!$B$2:$B$1000,933),"")</f>
      </c>
      <c r="B944" s="4">
        <f>IF(A944="","",COUNTIF('Input Barang'!$B$2:$B$1000,A944))</f>
      </c>
      <c r="C944" s="4">
        <f>IF(A944="","",COUNTIF('Output Agus'!$B$2:$B$1000,A944))</f>
      </c>
      <c r="D944" s="4">
        <f>IF(A944="","",COUNTIF('Output Rexa'!$B$2:$B$1000,A944))</f>
      </c>
      <c r="E944" s="4">
        <f>IF(A944="","",B944-C944-D944)</f>
      </c>
    </row>
    <row r="945">
      <c r="A945" s="5">
        <f>IFERROR(INDEX('Input Barang'!$B$2:$B$1000,934),"")</f>
      </c>
      <c r="B945" s="4">
        <f>IF(A945="","",COUNTIF('Input Barang'!$B$2:$B$1000,A945))</f>
      </c>
      <c r="C945" s="4">
        <f>IF(A945="","",COUNTIF('Output Agus'!$B$2:$B$1000,A945))</f>
      </c>
      <c r="D945" s="4">
        <f>IF(A945="","",COUNTIF('Output Rexa'!$B$2:$B$1000,A945))</f>
      </c>
      <c r="E945" s="4">
        <f>IF(A945="","",B945-C945-D945)</f>
      </c>
    </row>
    <row r="946">
      <c r="A946" s="5">
        <f>IFERROR(INDEX('Input Barang'!$B$2:$B$1000,935),"")</f>
      </c>
      <c r="B946" s="4">
        <f>IF(A946="","",COUNTIF('Input Barang'!$B$2:$B$1000,A946))</f>
      </c>
      <c r="C946" s="4">
        <f>IF(A946="","",COUNTIF('Output Agus'!$B$2:$B$1000,A946))</f>
      </c>
      <c r="D946" s="4">
        <f>IF(A946="","",COUNTIF('Output Rexa'!$B$2:$B$1000,A946))</f>
      </c>
      <c r="E946" s="4">
        <f>IF(A946="","",B946-C946-D946)</f>
      </c>
    </row>
    <row r="947">
      <c r="A947" s="5">
        <f>IFERROR(INDEX('Input Barang'!$B$2:$B$1000,936),"")</f>
      </c>
      <c r="B947" s="4">
        <f>IF(A947="","",COUNTIF('Input Barang'!$B$2:$B$1000,A947))</f>
      </c>
      <c r="C947" s="4">
        <f>IF(A947="","",COUNTIF('Output Agus'!$B$2:$B$1000,A947))</f>
      </c>
      <c r="D947" s="4">
        <f>IF(A947="","",COUNTIF('Output Rexa'!$B$2:$B$1000,A947))</f>
      </c>
      <c r="E947" s="4">
        <f>IF(A947="","",B947-C947-D947)</f>
      </c>
    </row>
    <row r="948">
      <c r="A948" s="5">
        <f>IFERROR(INDEX('Input Barang'!$B$2:$B$1000,937),"")</f>
      </c>
      <c r="B948" s="4">
        <f>IF(A948="","",COUNTIF('Input Barang'!$B$2:$B$1000,A948))</f>
      </c>
      <c r="C948" s="4">
        <f>IF(A948="","",COUNTIF('Output Agus'!$B$2:$B$1000,A948))</f>
      </c>
      <c r="D948" s="4">
        <f>IF(A948="","",COUNTIF('Output Rexa'!$B$2:$B$1000,A948))</f>
      </c>
      <c r="E948" s="4">
        <f>IF(A948="","",B948-C948-D948)</f>
      </c>
    </row>
    <row r="949">
      <c r="A949" s="5">
        <f>IFERROR(INDEX('Input Barang'!$B$2:$B$1000,938),"")</f>
      </c>
      <c r="B949" s="4">
        <f>IF(A949="","",COUNTIF('Input Barang'!$B$2:$B$1000,A949))</f>
      </c>
      <c r="C949" s="4">
        <f>IF(A949="","",COUNTIF('Output Agus'!$B$2:$B$1000,A949))</f>
      </c>
      <c r="D949" s="4">
        <f>IF(A949="","",COUNTIF('Output Rexa'!$B$2:$B$1000,A949))</f>
      </c>
      <c r="E949" s="4">
        <f>IF(A949="","",B949-C949-D949)</f>
      </c>
    </row>
    <row r="950">
      <c r="A950" s="5">
        <f>IFERROR(INDEX('Input Barang'!$B$2:$B$1000,939),"")</f>
      </c>
      <c r="B950" s="4">
        <f>IF(A950="","",COUNTIF('Input Barang'!$B$2:$B$1000,A950))</f>
      </c>
      <c r="C950" s="4">
        <f>IF(A950="","",COUNTIF('Output Agus'!$B$2:$B$1000,A950))</f>
      </c>
      <c r="D950" s="4">
        <f>IF(A950="","",COUNTIF('Output Rexa'!$B$2:$B$1000,A950))</f>
      </c>
      <c r="E950" s="4">
        <f>IF(A950="","",B950-C950-D950)</f>
      </c>
    </row>
    <row r="951">
      <c r="A951" s="5">
        <f>IFERROR(INDEX('Input Barang'!$B$2:$B$1000,940),"")</f>
      </c>
      <c r="B951" s="4">
        <f>IF(A951="","",COUNTIF('Input Barang'!$B$2:$B$1000,A951))</f>
      </c>
      <c r="C951" s="4">
        <f>IF(A951="","",COUNTIF('Output Agus'!$B$2:$B$1000,A951))</f>
      </c>
      <c r="D951" s="4">
        <f>IF(A951="","",COUNTIF('Output Rexa'!$B$2:$B$1000,A951))</f>
      </c>
      <c r="E951" s="4">
        <f>IF(A951="","",B951-C951-D951)</f>
      </c>
    </row>
    <row r="952">
      <c r="A952" s="5">
        <f>IFERROR(INDEX('Input Barang'!$B$2:$B$1000,941),"")</f>
      </c>
      <c r="B952" s="4">
        <f>IF(A952="","",COUNTIF('Input Barang'!$B$2:$B$1000,A952))</f>
      </c>
      <c r="C952" s="4">
        <f>IF(A952="","",COUNTIF('Output Agus'!$B$2:$B$1000,A952))</f>
      </c>
      <c r="D952" s="4">
        <f>IF(A952="","",COUNTIF('Output Rexa'!$B$2:$B$1000,A952))</f>
      </c>
      <c r="E952" s="4">
        <f>IF(A952="","",B952-C952-D952)</f>
      </c>
    </row>
    <row r="953">
      <c r="A953" s="5">
        <f>IFERROR(INDEX('Input Barang'!$B$2:$B$1000,942),"")</f>
      </c>
      <c r="B953" s="4">
        <f>IF(A953="","",COUNTIF('Input Barang'!$B$2:$B$1000,A953))</f>
      </c>
      <c r="C953" s="4">
        <f>IF(A953="","",COUNTIF('Output Agus'!$B$2:$B$1000,A953))</f>
      </c>
      <c r="D953" s="4">
        <f>IF(A953="","",COUNTIF('Output Rexa'!$B$2:$B$1000,A953))</f>
      </c>
      <c r="E953" s="4">
        <f>IF(A953="","",B953-C953-D953)</f>
      </c>
    </row>
    <row r="954">
      <c r="A954" s="5">
        <f>IFERROR(INDEX('Input Barang'!$B$2:$B$1000,943),"")</f>
      </c>
      <c r="B954" s="4">
        <f>IF(A954="","",COUNTIF('Input Barang'!$B$2:$B$1000,A954))</f>
      </c>
      <c r="C954" s="4">
        <f>IF(A954="","",COUNTIF('Output Agus'!$B$2:$B$1000,A954))</f>
      </c>
      <c r="D954" s="4">
        <f>IF(A954="","",COUNTIF('Output Rexa'!$B$2:$B$1000,A954))</f>
      </c>
      <c r="E954" s="4">
        <f>IF(A954="","",B954-C954-D954)</f>
      </c>
    </row>
    <row r="955">
      <c r="A955" s="5">
        <f>IFERROR(INDEX('Input Barang'!$B$2:$B$1000,944),"")</f>
      </c>
      <c r="B955" s="4">
        <f>IF(A955="","",COUNTIF('Input Barang'!$B$2:$B$1000,A955))</f>
      </c>
      <c r="C955" s="4">
        <f>IF(A955="","",COUNTIF('Output Agus'!$B$2:$B$1000,A955))</f>
      </c>
      <c r="D955" s="4">
        <f>IF(A955="","",COUNTIF('Output Rexa'!$B$2:$B$1000,A955))</f>
      </c>
      <c r="E955" s="4">
        <f>IF(A955="","",B955-C955-D955)</f>
      </c>
    </row>
    <row r="956">
      <c r="A956" s="5">
        <f>IFERROR(INDEX('Input Barang'!$B$2:$B$1000,945),"")</f>
      </c>
      <c r="B956" s="4">
        <f>IF(A956="","",COUNTIF('Input Barang'!$B$2:$B$1000,A956))</f>
      </c>
      <c r="C956" s="4">
        <f>IF(A956="","",COUNTIF('Output Agus'!$B$2:$B$1000,A956))</f>
      </c>
      <c r="D956" s="4">
        <f>IF(A956="","",COUNTIF('Output Rexa'!$B$2:$B$1000,A956))</f>
      </c>
      <c r="E956" s="4">
        <f>IF(A956="","",B956-C956-D956)</f>
      </c>
    </row>
    <row r="957">
      <c r="A957" s="5">
        <f>IFERROR(INDEX('Input Barang'!$B$2:$B$1000,946),"")</f>
      </c>
      <c r="B957" s="4">
        <f>IF(A957="","",COUNTIF('Input Barang'!$B$2:$B$1000,A957))</f>
      </c>
      <c r="C957" s="4">
        <f>IF(A957="","",COUNTIF('Output Agus'!$B$2:$B$1000,A957))</f>
      </c>
      <c r="D957" s="4">
        <f>IF(A957="","",COUNTIF('Output Rexa'!$B$2:$B$1000,A957))</f>
      </c>
      <c r="E957" s="4">
        <f>IF(A957="","",B957-C957-D957)</f>
      </c>
    </row>
    <row r="958">
      <c r="A958" s="5">
        <f>IFERROR(INDEX('Input Barang'!$B$2:$B$1000,947),"")</f>
      </c>
      <c r="B958" s="4">
        <f>IF(A958="","",COUNTIF('Input Barang'!$B$2:$B$1000,A958))</f>
      </c>
      <c r="C958" s="4">
        <f>IF(A958="","",COUNTIF('Output Agus'!$B$2:$B$1000,A958))</f>
      </c>
      <c r="D958" s="4">
        <f>IF(A958="","",COUNTIF('Output Rexa'!$B$2:$B$1000,A958))</f>
      </c>
      <c r="E958" s="4">
        <f>IF(A958="","",B958-C958-D958)</f>
      </c>
    </row>
    <row r="959">
      <c r="A959" s="5">
        <f>IFERROR(INDEX('Input Barang'!$B$2:$B$1000,948),"")</f>
      </c>
      <c r="B959" s="4">
        <f>IF(A959="","",COUNTIF('Input Barang'!$B$2:$B$1000,A959))</f>
      </c>
      <c r="C959" s="4">
        <f>IF(A959="","",COUNTIF('Output Agus'!$B$2:$B$1000,A959))</f>
      </c>
      <c r="D959" s="4">
        <f>IF(A959="","",COUNTIF('Output Rexa'!$B$2:$B$1000,A959))</f>
      </c>
      <c r="E959" s="4">
        <f>IF(A959="","",B959-C959-D959)</f>
      </c>
    </row>
    <row r="960">
      <c r="A960" s="5">
        <f>IFERROR(INDEX('Input Barang'!$B$2:$B$1000,949),"")</f>
      </c>
      <c r="B960" s="4">
        <f>IF(A960="","",COUNTIF('Input Barang'!$B$2:$B$1000,A960))</f>
      </c>
      <c r="C960" s="4">
        <f>IF(A960="","",COUNTIF('Output Agus'!$B$2:$B$1000,A960))</f>
      </c>
      <c r="D960" s="4">
        <f>IF(A960="","",COUNTIF('Output Rexa'!$B$2:$B$1000,A960))</f>
      </c>
      <c r="E960" s="4">
        <f>IF(A960="","",B960-C960-D960)</f>
      </c>
    </row>
    <row r="961">
      <c r="A961" s="5">
        <f>IFERROR(INDEX('Input Barang'!$B$2:$B$1000,950),"")</f>
      </c>
      <c r="B961" s="4">
        <f>IF(A961="","",COUNTIF('Input Barang'!$B$2:$B$1000,A961))</f>
      </c>
      <c r="C961" s="4">
        <f>IF(A961="","",COUNTIF('Output Agus'!$B$2:$B$1000,A961))</f>
      </c>
      <c r="D961" s="4">
        <f>IF(A961="","",COUNTIF('Output Rexa'!$B$2:$B$1000,A961))</f>
      </c>
      <c r="E961" s="4">
        <f>IF(A961="","",B961-C961-D961)</f>
      </c>
    </row>
    <row r="962">
      <c r="A962" s="5">
        <f>IFERROR(INDEX('Input Barang'!$B$2:$B$1000,951),"")</f>
      </c>
      <c r="B962" s="4">
        <f>IF(A962="","",COUNTIF('Input Barang'!$B$2:$B$1000,A962))</f>
      </c>
      <c r="C962" s="4">
        <f>IF(A962="","",COUNTIF('Output Agus'!$B$2:$B$1000,A962))</f>
      </c>
      <c r="D962" s="4">
        <f>IF(A962="","",COUNTIF('Output Rexa'!$B$2:$B$1000,A962))</f>
      </c>
      <c r="E962" s="4">
        <f>IF(A962="","",B962-C962-D962)</f>
      </c>
    </row>
    <row r="963">
      <c r="A963" s="5">
        <f>IFERROR(INDEX('Input Barang'!$B$2:$B$1000,952),"")</f>
      </c>
      <c r="B963" s="4">
        <f>IF(A963="","",COUNTIF('Input Barang'!$B$2:$B$1000,A963))</f>
      </c>
      <c r="C963" s="4">
        <f>IF(A963="","",COUNTIF('Output Agus'!$B$2:$B$1000,A963))</f>
      </c>
      <c r="D963" s="4">
        <f>IF(A963="","",COUNTIF('Output Rexa'!$B$2:$B$1000,A963))</f>
      </c>
      <c r="E963" s="4">
        <f>IF(A963="","",B963-C963-D963)</f>
      </c>
    </row>
    <row r="964">
      <c r="A964" s="5">
        <f>IFERROR(INDEX('Input Barang'!$B$2:$B$1000,953),"")</f>
      </c>
      <c r="B964" s="4">
        <f>IF(A964="","",COUNTIF('Input Barang'!$B$2:$B$1000,A964))</f>
      </c>
      <c r="C964" s="4">
        <f>IF(A964="","",COUNTIF('Output Agus'!$B$2:$B$1000,A964))</f>
      </c>
      <c r="D964" s="4">
        <f>IF(A964="","",COUNTIF('Output Rexa'!$B$2:$B$1000,A964))</f>
      </c>
      <c r="E964" s="4">
        <f>IF(A964="","",B964-C964-D964)</f>
      </c>
    </row>
    <row r="965">
      <c r="A965" s="5">
        <f>IFERROR(INDEX('Input Barang'!$B$2:$B$1000,954),"")</f>
      </c>
      <c r="B965" s="4">
        <f>IF(A965="","",COUNTIF('Input Barang'!$B$2:$B$1000,A965))</f>
      </c>
      <c r="C965" s="4">
        <f>IF(A965="","",COUNTIF('Output Agus'!$B$2:$B$1000,A965))</f>
      </c>
      <c r="D965" s="4">
        <f>IF(A965="","",COUNTIF('Output Rexa'!$B$2:$B$1000,A965))</f>
      </c>
      <c r="E965" s="4">
        <f>IF(A965="","",B965-C965-D965)</f>
      </c>
    </row>
    <row r="966">
      <c r="A966" s="5">
        <f>IFERROR(INDEX('Input Barang'!$B$2:$B$1000,955),"")</f>
      </c>
      <c r="B966" s="4">
        <f>IF(A966="","",COUNTIF('Input Barang'!$B$2:$B$1000,A966))</f>
      </c>
      <c r="C966" s="4">
        <f>IF(A966="","",COUNTIF('Output Agus'!$B$2:$B$1000,A966))</f>
      </c>
      <c r="D966" s="4">
        <f>IF(A966="","",COUNTIF('Output Rexa'!$B$2:$B$1000,A966))</f>
      </c>
      <c r="E966" s="4">
        <f>IF(A966="","",B966-C966-D966)</f>
      </c>
    </row>
    <row r="967">
      <c r="A967" s="5">
        <f>IFERROR(INDEX('Input Barang'!$B$2:$B$1000,956),"")</f>
      </c>
      <c r="B967" s="4">
        <f>IF(A967="","",COUNTIF('Input Barang'!$B$2:$B$1000,A967))</f>
      </c>
      <c r="C967" s="4">
        <f>IF(A967="","",COUNTIF('Output Agus'!$B$2:$B$1000,A967))</f>
      </c>
      <c r="D967" s="4">
        <f>IF(A967="","",COUNTIF('Output Rexa'!$B$2:$B$1000,A967))</f>
      </c>
      <c r="E967" s="4">
        <f>IF(A967="","",B967-C967-D967)</f>
      </c>
    </row>
    <row r="968">
      <c r="A968" s="5">
        <f>IFERROR(INDEX('Input Barang'!$B$2:$B$1000,957),"")</f>
      </c>
      <c r="B968" s="4">
        <f>IF(A968="","",COUNTIF('Input Barang'!$B$2:$B$1000,A968))</f>
      </c>
      <c r="C968" s="4">
        <f>IF(A968="","",COUNTIF('Output Agus'!$B$2:$B$1000,A968))</f>
      </c>
      <c r="D968" s="4">
        <f>IF(A968="","",COUNTIF('Output Rexa'!$B$2:$B$1000,A968))</f>
      </c>
      <c r="E968" s="4">
        <f>IF(A968="","",B968-C968-D968)</f>
      </c>
    </row>
    <row r="969">
      <c r="A969" s="5">
        <f>IFERROR(INDEX('Input Barang'!$B$2:$B$1000,958),"")</f>
      </c>
      <c r="B969" s="4">
        <f>IF(A969="","",COUNTIF('Input Barang'!$B$2:$B$1000,A969))</f>
      </c>
      <c r="C969" s="4">
        <f>IF(A969="","",COUNTIF('Output Agus'!$B$2:$B$1000,A969))</f>
      </c>
      <c r="D969" s="4">
        <f>IF(A969="","",COUNTIF('Output Rexa'!$B$2:$B$1000,A969))</f>
      </c>
      <c r="E969" s="4">
        <f>IF(A969="","",B969-C969-D969)</f>
      </c>
    </row>
    <row r="970">
      <c r="A970" s="5">
        <f>IFERROR(INDEX('Input Barang'!$B$2:$B$1000,959),"")</f>
      </c>
      <c r="B970" s="4">
        <f>IF(A970="","",COUNTIF('Input Barang'!$B$2:$B$1000,A970))</f>
      </c>
      <c r="C970" s="4">
        <f>IF(A970="","",COUNTIF('Output Agus'!$B$2:$B$1000,A970))</f>
      </c>
      <c r="D970" s="4">
        <f>IF(A970="","",COUNTIF('Output Rexa'!$B$2:$B$1000,A970))</f>
      </c>
      <c r="E970" s="4">
        <f>IF(A970="","",B970-C970-D970)</f>
      </c>
    </row>
    <row r="971">
      <c r="A971" s="5">
        <f>IFERROR(INDEX('Input Barang'!$B$2:$B$1000,960),"")</f>
      </c>
      <c r="B971" s="4">
        <f>IF(A971="","",COUNTIF('Input Barang'!$B$2:$B$1000,A971))</f>
      </c>
      <c r="C971" s="4">
        <f>IF(A971="","",COUNTIF('Output Agus'!$B$2:$B$1000,A971))</f>
      </c>
      <c r="D971" s="4">
        <f>IF(A971="","",COUNTIF('Output Rexa'!$B$2:$B$1000,A971))</f>
      </c>
      <c r="E971" s="4">
        <f>IF(A971="","",B971-C971-D971)</f>
      </c>
    </row>
    <row r="972">
      <c r="A972" s="5">
        <f>IFERROR(INDEX('Input Barang'!$B$2:$B$1000,961),"")</f>
      </c>
      <c r="B972" s="4">
        <f>IF(A972="","",COUNTIF('Input Barang'!$B$2:$B$1000,A972))</f>
      </c>
      <c r="C972" s="4">
        <f>IF(A972="","",COUNTIF('Output Agus'!$B$2:$B$1000,A972))</f>
      </c>
      <c r="D972" s="4">
        <f>IF(A972="","",COUNTIF('Output Rexa'!$B$2:$B$1000,A972))</f>
      </c>
      <c r="E972" s="4">
        <f>IF(A972="","",B972-C972-D972)</f>
      </c>
    </row>
    <row r="973">
      <c r="A973" s="5">
        <f>IFERROR(INDEX('Input Barang'!$B$2:$B$1000,962),"")</f>
      </c>
      <c r="B973" s="4">
        <f>IF(A973="","",COUNTIF('Input Barang'!$B$2:$B$1000,A973))</f>
      </c>
      <c r="C973" s="4">
        <f>IF(A973="","",COUNTIF('Output Agus'!$B$2:$B$1000,A973))</f>
      </c>
      <c r="D973" s="4">
        <f>IF(A973="","",COUNTIF('Output Rexa'!$B$2:$B$1000,A973))</f>
      </c>
      <c r="E973" s="4">
        <f>IF(A973="","",B973-C973-D973)</f>
      </c>
    </row>
    <row r="974">
      <c r="A974" s="5">
        <f>IFERROR(INDEX('Input Barang'!$B$2:$B$1000,963),"")</f>
      </c>
      <c r="B974" s="4">
        <f>IF(A974="","",COUNTIF('Input Barang'!$B$2:$B$1000,A974))</f>
      </c>
      <c r="C974" s="4">
        <f>IF(A974="","",COUNTIF('Output Agus'!$B$2:$B$1000,A974))</f>
      </c>
      <c r="D974" s="4">
        <f>IF(A974="","",COUNTIF('Output Rexa'!$B$2:$B$1000,A974))</f>
      </c>
      <c r="E974" s="4">
        <f>IF(A974="","",B974-C974-D974)</f>
      </c>
    </row>
    <row r="975">
      <c r="A975" s="5">
        <f>IFERROR(INDEX('Input Barang'!$B$2:$B$1000,964),"")</f>
      </c>
      <c r="B975" s="4">
        <f>IF(A975="","",COUNTIF('Input Barang'!$B$2:$B$1000,A975))</f>
      </c>
      <c r="C975" s="4">
        <f>IF(A975="","",COUNTIF('Output Agus'!$B$2:$B$1000,A975))</f>
      </c>
      <c r="D975" s="4">
        <f>IF(A975="","",COUNTIF('Output Rexa'!$B$2:$B$1000,A975))</f>
      </c>
      <c r="E975" s="4">
        <f>IF(A975="","",B975-C975-D975)</f>
      </c>
    </row>
    <row r="976">
      <c r="A976" s="5">
        <f>IFERROR(INDEX('Input Barang'!$B$2:$B$1000,965),"")</f>
      </c>
      <c r="B976" s="4">
        <f>IF(A976="","",COUNTIF('Input Barang'!$B$2:$B$1000,A976))</f>
      </c>
      <c r="C976" s="4">
        <f>IF(A976="","",COUNTIF('Output Agus'!$B$2:$B$1000,A976))</f>
      </c>
      <c r="D976" s="4">
        <f>IF(A976="","",COUNTIF('Output Rexa'!$B$2:$B$1000,A976))</f>
      </c>
      <c r="E976" s="4">
        <f>IF(A976="","",B976-C976-D976)</f>
      </c>
    </row>
    <row r="977">
      <c r="A977" s="5">
        <f>IFERROR(INDEX('Input Barang'!$B$2:$B$1000,966),"")</f>
      </c>
      <c r="B977" s="4">
        <f>IF(A977="","",COUNTIF('Input Barang'!$B$2:$B$1000,A977))</f>
      </c>
      <c r="C977" s="4">
        <f>IF(A977="","",COUNTIF('Output Agus'!$B$2:$B$1000,A977))</f>
      </c>
      <c r="D977" s="4">
        <f>IF(A977="","",COUNTIF('Output Rexa'!$B$2:$B$1000,A977))</f>
      </c>
      <c r="E977" s="4">
        <f>IF(A977="","",B977-C977-D977)</f>
      </c>
    </row>
    <row r="978">
      <c r="A978" s="5">
        <f>IFERROR(INDEX('Input Barang'!$B$2:$B$1000,967),"")</f>
      </c>
      <c r="B978" s="4">
        <f>IF(A978="","",COUNTIF('Input Barang'!$B$2:$B$1000,A978))</f>
      </c>
      <c r="C978" s="4">
        <f>IF(A978="","",COUNTIF('Output Agus'!$B$2:$B$1000,A978))</f>
      </c>
      <c r="D978" s="4">
        <f>IF(A978="","",COUNTIF('Output Rexa'!$B$2:$B$1000,A978))</f>
      </c>
      <c r="E978" s="4">
        <f>IF(A978="","",B978-C978-D978)</f>
      </c>
    </row>
    <row r="979">
      <c r="A979" s="5">
        <f>IFERROR(INDEX('Input Barang'!$B$2:$B$1000,968),"")</f>
      </c>
      <c r="B979" s="4">
        <f>IF(A979="","",COUNTIF('Input Barang'!$B$2:$B$1000,A979))</f>
      </c>
      <c r="C979" s="4">
        <f>IF(A979="","",COUNTIF('Output Agus'!$B$2:$B$1000,A979))</f>
      </c>
      <c r="D979" s="4">
        <f>IF(A979="","",COUNTIF('Output Rexa'!$B$2:$B$1000,A979))</f>
      </c>
      <c r="E979" s="4">
        <f>IF(A979="","",B979-C979-D979)</f>
      </c>
    </row>
    <row r="980">
      <c r="A980" s="5">
        <f>IFERROR(INDEX('Input Barang'!$B$2:$B$1000,969),"")</f>
      </c>
      <c r="B980" s="4">
        <f>IF(A980="","",COUNTIF('Input Barang'!$B$2:$B$1000,A980))</f>
      </c>
      <c r="C980" s="4">
        <f>IF(A980="","",COUNTIF('Output Agus'!$B$2:$B$1000,A980))</f>
      </c>
      <c r="D980" s="4">
        <f>IF(A980="","",COUNTIF('Output Rexa'!$B$2:$B$1000,A980))</f>
      </c>
      <c r="E980" s="4">
        <f>IF(A980="","",B980-C980-D980)</f>
      </c>
    </row>
    <row r="981">
      <c r="A981" s="5">
        <f>IFERROR(INDEX('Input Barang'!$B$2:$B$1000,970),"")</f>
      </c>
      <c r="B981" s="4">
        <f>IF(A981="","",COUNTIF('Input Barang'!$B$2:$B$1000,A981))</f>
      </c>
      <c r="C981" s="4">
        <f>IF(A981="","",COUNTIF('Output Agus'!$B$2:$B$1000,A981))</f>
      </c>
      <c r="D981" s="4">
        <f>IF(A981="","",COUNTIF('Output Rexa'!$B$2:$B$1000,A981))</f>
      </c>
      <c r="E981" s="4">
        <f>IF(A981="","",B981-C981-D981)</f>
      </c>
    </row>
    <row r="982">
      <c r="A982" s="5">
        <f>IFERROR(INDEX('Input Barang'!$B$2:$B$1000,971),"")</f>
      </c>
      <c r="B982" s="4">
        <f>IF(A982="","",COUNTIF('Input Barang'!$B$2:$B$1000,A982))</f>
      </c>
      <c r="C982" s="4">
        <f>IF(A982="","",COUNTIF('Output Agus'!$B$2:$B$1000,A982))</f>
      </c>
      <c r="D982" s="4">
        <f>IF(A982="","",COUNTIF('Output Rexa'!$B$2:$B$1000,A982))</f>
      </c>
      <c r="E982" s="4">
        <f>IF(A982="","",B982-C982-D982)</f>
      </c>
    </row>
    <row r="983">
      <c r="A983" s="5">
        <f>IFERROR(INDEX('Input Barang'!$B$2:$B$1000,972),"")</f>
      </c>
      <c r="B983" s="4">
        <f>IF(A983="","",COUNTIF('Input Barang'!$B$2:$B$1000,A983))</f>
      </c>
      <c r="C983" s="4">
        <f>IF(A983="","",COUNTIF('Output Agus'!$B$2:$B$1000,A983))</f>
      </c>
      <c r="D983" s="4">
        <f>IF(A983="","",COUNTIF('Output Rexa'!$B$2:$B$1000,A983))</f>
      </c>
      <c r="E983" s="4">
        <f>IF(A983="","",B983-C983-D983)</f>
      </c>
    </row>
    <row r="984">
      <c r="A984" s="5">
        <f>IFERROR(INDEX('Input Barang'!$B$2:$B$1000,973),"")</f>
      </c>
      <c r="B984" s="4">
        <f>IF(A984="","",COUNTIF('Input Barang'!$B$2:$B$1000,A984))</f>
      </c>
      <c r="C984" s="4">
        <f>IF(A984="","",COUNTIF('Output Agus'!$B$2:$B$1000,A984))</f>
      </c>
      <c r="D984" s="4">
        <f>IF(A984="","",COUNTIF('Output Rexa'!$B$2:$B$1000,A984))</f>
      </c>
      <c r="E984" s="4">
        <f>IF(A984="","",B984-C984-D984)</f>
      </c>
    </row>
    <row r="985">
      <c r="A985" s="5">
        <f>IFERROR(INDEX('Input Barang'!$B$2:$B$1000,974),"")</f>
      </c>
      <c r="B985" s="4">
        <f>IF(A985="","",COUNTIF('Input Barang'!$B$2:$B$1000,A985))</f>
      </c>
      <c r="C985" s="4">
        <f>IF(A985="","",COUNTIF('Output Agus'!$B$2:$B$1000,A985))</f>
      </c>
      <c r="D985" s="4">
        <f>IF(A985="","",COUNTIF('Output Rexa'!$B$2:$B$1000,A985))</f>
      </c>
      <c r="E985" s="4">
        <f>IF(A985="","",B985-C985-D985)</f>
      </c>
    </row>
    <row r="986">
      <c r="A986" s="5">
        <f>IFERROR(INDEX('Input Barang'!$B$2:$B$1000,975),"")</f>
      </c>
      <c r="B986" s="4">
        <f>IF(A986="","",COUNTIF('Input Barang'!$B$2:$B$1000,A986))</f>
      </c>
      <c r="C986" s="4">
        <f>IF(A986="","",COUNTIF('Output Agus'!$B$2:$B$1000,A986))</f>
      </c>
      <c r="D986" s="4">
        <f>IF(A986="","",COUNTIF('Output Rexa'!$B$2:$B$1000,A986))</f>
      </c>
      <c r="E986" s="4">
        <f>IF(A986="","",B986-C986-D986)</f>
      </c>
    </row>
    <row r="987">
      <c r="A987" s="5">
        <f>IFERROR(INDEX('Input Barang'!$B$2:$B$1000,976),"")</f>
      </c>
      <c r="B987" s="4">
        <f>IF(A987="","",COUNTIF('Input Barang'!$B$2:$B$1000,A987))</f>
      </c>
      <c r="C987" s="4">
        <f>IF(A987="","",COUNTIF('Output Agus'!$B$2:$B$1000,A987))</f>
      </c>
      <c r="D987" s="4">
        <f>IF(A987="","",COUNTIF('Output Rexa'!$B$2:$B$1000,A987))</f>
      </c>
      <c r="E987" s="4">
        <f>IF(A987="","",B987-C987-D987)</f>
      </c>
    </row>
    <row r="988">
      <c r="A988" s="5">
        <f>IFERROR(INDEX('Input Barang'!$B$2:$B$1000,977),"")</f>
      </c>
      <c r="B988" s="4">
        <f>IF(A988="","",COUNTIF('Input Barang'!$B$2:$B$1000,A988))</f>
      </c>
      <c r="C988" s="4">
        <f>IF(A988="","",COUNTIF('Output Agus'!$B$2:$B$1000,A988))</f>
      </c>
      <c r="D988" s="4">
        <f>IF(A988="","",COUNTIF('Output Rexa'!$B$2:$B$1000,A988))</f>
      </c>
      <c r="E988" s="4">
        <f>IF(A988="","",B988-C988-D988)</f>
      </c>
    </row>
    <row r="989">
      <c r="A989" s="5">
        <f>IFERROR(INDEX('Input Barang'!$B$2:$B$1000,978),"")</f>
      </c>
      <c r="B989" s="4">
        <f>IF(A989="","",COUNTIF('Input Barang'!$B$2:$B$1000,A989))</f>
      </c>
      <c r="C989" s="4">
        <f>IF(A989="","",COUNTIF('Output Agus'!$B$2:$B$1000,A989))</f>
      </c>
      <c r="D989" s="4">
        <f>IF(A989="","",COUNTIF('Output Rexa'!$B$2:$B$1000,A989))</f>
      </c>
      <c r="E989" s="4">
        <f>IF(A989="","",B989-C989-D989)</f>
      </c>
    </row>
    <row r="990">
      <c r="A990" s="5">
        <f>IFERROR(INDEX('Input Barang'!$B$2:$B$1000,979),"")</f>
      </c>
      <c r="B990" s="4">
        <f>IF(A990="","",COUNTIF('Input Barang'!$B$2:$B$1000,A990))</f>
      </c>
      <c r="C990" s="4">
        <f>IF(A990="","",COUNTIF('Output Agus'!$B$2:$B$1000,A990))</f>
      </c>
      <c r="D990" s="4">
        <f>IF(A990="","",COUNTIF('Output Rexa'!$B$2:$B$1000,A990))</f>
      </c>
      <c r="E990" s="4">
        <f>IF(A990="","",B990-C990-D990)</f>
      </c>
    </row>
    <row r="991">
      <c r="A991" s="5">
        <f>IFERROR(INDEX('Input Barang'!$B$2:$B$1000,980),"")</f>
      </c>
      <c r="B991" s="4">
        <f>IF(A991="","",COUNTIF('Input Barang'!$B$2:$B$1000,A991))</f>
      </c>
      <c r="C991" s="4">
        <f>IF(A991="","",COUNTIF('Output Agus'!$B$2:$B$1000,A991))</f>
      </c>
      <c r="D991" s="4">
        <f>IF(A991="","",COUNTIF('Output Rexa'!$B$2:$B$1000,A991))</f>
      </c>
      <c r="E991" s="4">
        <f>IF(A991="","",B991-C991-D991)</f>
      </c>
    </row>
    <row r="992">
      <c r="A992" s="5">
        <f>IFERROR(INDEX('Input Barang'!$B$2:$B$1000,981),"")</f>
      </c>
      <c r="B992" s="4">
        <f>IF(A992="","",COUNTIF('Input Barang'!$B$2:$B$1000,A992))</f>
      </c>
      <c r="C992" s="4">
        <f>IF(A992="","",COUNTIF('Output Agus'!$B$2:$B$1000,A992))</f>
      </c>
      <c r="D992" s="4">
        <f>IF(A992="","",COUNTIF('Output Rexa'!$B$2:$B$1000,A992))</f>
      </c>
      <c r="E992" s="4">
        <f>IF(A992="","",B992-C992-D992)</f>
      </c>
    </row>
    <row r="993">
      <c r="A993" s="5">
        <f>IFERROR(INDEX('Input Barang'!$B$2:$B$1000,982),"")</f>
      </c>
      <c r="B993" s="4">
        <f>IF(A993="","",COUNTIF('Input Barang'!$B$2:$B$1000,A993))</f>
      </c>
      <c r="C993" s="4">
        <f>IF(A993="","",COUNTIF('Output Agus'!$B$2:$B$1000,A993))</f>
      </c>
      <c r="D993" s="4">
        <f>IF(A993="","",COUNTIF('Output Rexa'!$B$2:$B$1000,A993))</f>
      </c>
      <c r="E993" s="4">
        <f>IF(A993="","",B993-C993-D993)</f>
      </c>
    </row>
    <row r="994">
      <c r="A994" s="5">
        <f>IFERROR(INDEX('Input Barang'!$B$2:$B$1000,983),"")</f>
      </c>
      <c r="B994" s="4">
        <f>IF(A994="","",COUNTIF('Input Barang'!$B$2:$B$1000,A994))</f>
      </c>
      <c r="C994" s="4">
        <f>IF(A994="","",COUNTIF('Output Agus'!$B$2:$B$1000,A994))</f>
      </c>
      <c r="D994" s="4">
        <f>IF(A994="","",COUNTIF('Output Rexa'!$B$2:$B$1000,A994))</f>
      </c>
      <c r="E994" s="4">
        <f>IF(A994="","",B994-C994-D994)</f>
      </c>
    </row>
    <row r="995">
      <c r="A995" s="5">
        <f>IFERROR(INDEX('Input Barang'!$B$2:$B$1000,984),"")</f>
      </c>
      <c r="B995" s="4">
        <f>IF(A995="","",COUNTIF('Input Barang'!$B$2:$B$1000,A995))</f>
      </c>
      <c r="C995" s="4">
        <f>IF(A995="","",COUNTIF('Output Agus'!$B$2:$B$1000,A995))</f>
      </c>
      <c r="D995" s="4">
        <f>IF(A995="","",COUNTIF('Output Rexa'!$B$2:$B$1000,A995))</f>
      </c>
      <c r="E995" s="4">
        <f>IF(A995="","",B995-C995-D995)</f>
      </c>
    </row>
    <row r="996">
      <c r="A996" s="5">
        <f>IFERROR(INDEX('Input Barang'!$B$2:$B$1000,985),"")</f>
      </c>
      <c r="B996" s="4">
        <f>IF(A996="","",COUNTIF('Input Barang'!$B$2:$B$1000,A996))</f>
      </c>
      <c r="C996" s="4">
        <f>IF(A996="","",COUNTIF('Output Agus'!$B$2:$B$1000,A996))</f>
      </c>
      <c r="D996" s="4">
        <f>IF(A996="","",COUNTIF('Output Rexa'!$B$2:$B$1000,A996))</f>
      </c>
      <c r="E996" s="4">
        <f>IF(A996="","",B996-C996-D996)</f>
      </c>
    </row>
    <row r="997">
      <c r="A997" s="5">
        <f>IFERROR(INDEX('Input Barang'!$B$2:$B$1000,986),"")</f>
      </c>
      <c r="B997" s="4">
        <f>IF(A997="","",COUNTIF('Input Barang'!$B$2:$B$1000,A997))</f>
      </c>
      <c r="C997" s="4">
        <f>IF(A997="","",COUNTIF('Output Agus'!$B$2:$B$1000,A997))</f>
      </c>
      <c r="D997" s="4">
        <f>IF(A997="","",COUNTIF('Output Rexa'!$B$2:$B$1000,A997))</f>
      </c>
      <c r="E997" s="4">
        <f>IF(A997="","",B997-C997-D997)</f>
      </c>
    </row>
    <row r="998">
      <c r="A998" s="5">
        <f>IFERROR(INDEX('Input Barang'!$B$2:$B$1000,987),"")</f>
      </c>
      <c r="B998" s="4">
        <f>IF(A998="","",COUNTIF('Input Barang'!$B$2:$B$1000,A998))</f>
      </c>
      <c r="C998" s="4">
        <f>IF(A998="","",COUNTIF('Output Agus'!$B$2:$B$1000,A998))</f>
      </c>
      <c r="D998" s="4">
        <f>IF(A998="","",COUNTIF('Output Rexa'!$B$2:$B$1000,A998))</f>
      </c>
      <c r="E998" s="4">
        <f>IF(A998="","",B998-C998-D998)</f>
      </c>
    </row>
    <row r="999">
      <c r="A999" s="5">
        <f>IFERROR(INDEX('Input Barang'!$B$2:$B$1000,988),"")</f>
      </c>
      <c r="B999" s="4">
        <f>IF(A999="","",COUNTIF('Input Barang'!$B$2:$B$1000,A999))</f>
      </c>
      <c r="C999" s="4">
        <f>IF(A999="","",COUNTIF('Output Agus'!$B$2:$B$1000,A999))</f>
      </c>
      <c r="D999" s="4">
        <f>IF(A999="","",COUNTIF('Output Rexa'!$B$2:$B$1000,A999))</f>
      </c>
      <c r="E999" s="4">
        <f>IF(A999="","",B999-C999-D999)</f>
      </c>
    </row>
    <row r="1000">
      <c r="A1000" s="5">
        <f>IFERROR(INDEX('Input Barang'!$B$2:$B$1000,989),"")</f>
      </c>
      <c r="B1000" s="4">
        <f>IF(A1000="","",COUNTIF('Input Barang'!$B$2:$B$1000,A1000))</f>
      </c>
      <c r="C1000" s="4">
        <f>IF(A1000="","",COUNTIF('Output Agus'!$B$2:$B$1000,A1000))</f>
      </c>
      <c r="D1000" s="4">
        <f>IF(A1000="","",COUNTIF('Output Rexa'!$B$2:$B$1000,A1000))</f>
      </c>
      <c r="E1000" s="4">
        <f>IF(A1000="","",B1000-C1000-D1000)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Kiro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Kiro</dc:creator>
  <dc:title>Sistem Keluar Masuk Barang</dc:title>
</cp:coreProperties>
</file>